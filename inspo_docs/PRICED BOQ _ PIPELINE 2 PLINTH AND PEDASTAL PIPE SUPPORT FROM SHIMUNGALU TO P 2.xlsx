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195E8A6-77D1-42C0-B680-CAD2980640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OQ DRIP PUMP STATION" sheetId="1" r:id="rId1"/>
  </sheets>
  <definedNames>
    <definedName name="_xlnm.Print_Area" localSheetId="0">'BOQ DRIP PUMP STATION'!$A$1:$F$172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9" i="1" l="1"/>
  <c r="F165" i="1"/>
  <c r="F163" i="1"/>
  <c r="F155" i="1"/>
  <c r="F153" i="1"/>
  <c r="F142" i="1"/>
  <c r="F138" i="1"/>
  <c r="F134" i="1"/>
  <c r="F129" i="1"/>
  <c r="F125" i="1"/>
  <c r="F119" i="1"/>
  <c r="F113" i="1"/>
  <c r="F111" i="1"/>
  <c r="F144" i="1" s="1"/>
  <c r="F167" i="1" s="1"/>
  <c r="F171" i="1" s="1"/>
  <c r="F107" i="1"/>
  <c r="F101" i="1"/>
  <c r="F97" i="1"/>
  <c r="F95" i="1"/>
  <c r="F93" i="1"/>
  <c r="F91" i="1"/>
  <c r="F89" i="1"/>
  <c r="F87" i="1"/>
  <c r="F85" i="1"/>
  <c r="F83" i="1"/>
  <c r="F77" i="1"/>
  <c r="F68" i="1"/>
  <c r="F66" i="1"/>
  <c r="F64" i="1"/>
  <c r="F62" i="1"/>
</calcChain>
</file>

<file path=xl/sharedStrings.xml><?xml version="1.0" encoding="utf-8"?>
<sst xmlns="http://schemas.openxmlformats.org/spreadsheetml/2006/main" count="189" uniqueCount="127">
  <si>
    <t xml:space="preserve">BILL OF QUANTITIES </t>
  </si>
  <si>
    <t>FOR</t>
  </si>
  <si>
    <t>PROPOSED PIPE LINE 2 PLINTH AND PEDASTAL PIPE SUPPORT</t>
  </si>
  <si>
    <t>FROM</t>
  </si>
  <si>
    <t>SHIMUNGALU JUNCTION TO PUMP STATION 2</t>
  </si>
  <si>
    <t>NAKAMBALA</t>
  </si>
  <si>
    <t xml:space="preserve">ITEM </t>
  </si>
  <si>
    <t>DESCRIPTION</t>
  </si>
  <si>
    <t>UNIT</t>
  </si>
  <si>
    <t>QTY</t>
  </si>
  <si>
    <t>RATE</t>
  </si>
  <si>
    <t>AMOUNT</t>
  </si>
  <si>
    <t xml:space="preserve">General Preambles </t>
  </si>
  <si>
    <t>The following specifications must be taken into consideration in cases were they may not be indicated:</t>
  </si>
  <si>
    <t>i</t>
  </si>
  <si>
    <t>A contractor shall farmilirise himself with the works as no claims, due to fairlure to understand the scope of works shall be accepted</t>
  </si>
  <si>
    <t>ii</t>
  </si>
  <si>
    <t>Contractor shall allow in his rates the price of materials, transportation, plant, equipment, personel and any other services required during execution of works</t>
  </si>
  <si>
    <t>iii</t>
  </si>
  <si>
    <t xml:space="preserve">All rates must include the supply and installation of new items/materials </t>
  </si>
  <si>
    <t>iv</t>
  </si>
  <si>
    <t xml:space="preserve">Where there is a discrepancy between the drawings and BOQ, consult the Engineer or other authorised client's site representative </t>
  </si>
  <si>
    <t>v</t>
  </si>
  <si>
    <t xml:space="preserve">The net quantities in the BOQ shall not be used for the purpose of ordering materials. All measurments must be confirmed prior to to procurment of materials </t>
  </si>
  <si>
    <t>vi</t>
  </si>
  <si>
    <t>Samples of materials to be availed to the Engineer for approval prior to procurment; floor and wall tiles, doors, mortice lockes, bulb holders, etc.</t>
  </si>
  <si>
    <t>vii</t>
  </si>
  <si>
    <t xml:space="preserve">Contractor shall provide signs and safety barrier tapes to be erected at site and to ensure good houskeeping at all times </t>
  </si>
  <si>
    <t>viii</t>
  </si>
  <si>
    <t xml:space="preserve">The contractor shall provide all required PPE i.e helments, gloves, safety boots, eye goggles,dust mus, work suite, etc. for his workmanship </t>
  </si>
  <si>
    <t>ix</t>
  </si>
  <si>
    <t xml:space="preserve">The contractor will be held responsible for any loss or damage of existing works </t>
  </si>
  <si>
    <t>x</t>
  </si>
  <si>
    <t xml:space="preserve">During the execution of works, site security will be the responsibility of the contractor </t>
  </si>
  <si>
    <t>xi</t>
  </si>
  <si>
    <t xml:space="preserve">Before handover, the contractor must clean up and dump the waste/debris to disgnated dump site; provisionally 8 km away </t>
  </si>
  <si>
    <t>xii</t>
  </si>
  <si>
    <t xml:space="preserve">The contractor is to make good disturbed works by all trades before handover </t>
  </si>
  <si>
    <t>xiii</t>
  </si>
  <si>
    <t>Unless indicated , a Contractor shall supply all materials, labour and equipment</t>
  </si>
  <si>
    <t>xiv</t>
  </si>
  <si>
    <t>The Contractor is to carfully read and understand the scope/BOQ as any cost that will arise from failure to understand the scope will fall on the contractor</t>
  </si>
  <si>
    <t>BILL No. 1</t>
  </si>
  <si>
    <t>PRELIMINARY AND GENERAL ITEMS</t>
  </si>
  <si>
    <t xml:space="preserve">PRELIMINARY AND GENERAL ITEMS </t>
  </si>
  <si>
    <t>A</t>
  </si>
  <si>
    <t xml:space="preserve">Allow for mobilization labour, materials and equipment </t>
  </si>
  <si>
    <t>Item</t>
  </si>
  <si>
    <t>Incl</t>
  </si>
  <si>
    <t>B</t>
  </si>
  <si>
    <t xml:space="preserve">Allow for demobilisation,cleaning the site and dispose of rubble </t>
  </si>
  <si>
    <t>PRELIMINARY AND GENERAL ITEMS - TOTAL TO SUMMARY</t>
  </si>
  <si>
    <t>ZMW</t>
  </si>
  <si>
    <t>BILL No. 2</t>
  </si>
  <si>
    <t>DEMOLITION WORKS</t>
  </si>
  <si>
    <t>Site Preparations</t>
  </si>
  <si>
    <t>Allow for breaking up of cracked/bend plinths/stub columns and make good to receive new works and clear away debris</t>
  </si>
  <si>
    <t>Allow for disposing off debris from site</t>
  </si>
  <si>
    <t>C</t>
  </si>
  <si>
    <t>Allow for fabrication/erection of pipe supports as work progresses to be approved by the engineer/Project Manager</t>
  </si>
  <si>
    <t>TOTAL CARRIED TO SUMMARY OF BILL OF QUANTITIES</t>
  </si>
  <si>
    <t>BILL No. 3</t>
  </si>
  <si>
    <t>PLINTH AND PEDALSTAL PIPE SUPPORT WORKS</t>
  </si>
  <si>
    <t>MEASURED WORKS</t>
  </si>
  <si>
    <t>Preambles</t>
  </si>
  <si>
    <t>(i)</t>
  </si>
  <si>
    <t>Scope of Work is to construct Fifty Two (52) total in number of plinths to support the pipe line.</t>
  </si>
  <si>
    <t>Excavate oversite average 150 mm deep to remove top soil soil and wheel, spread and level on site where directed</t>
  </si>
  <si>
    <t>m²</t>
  </si>
  <si>
    <t>Excavate in "pickable material" as described for pad foundation trenches not exceeding 1.50m deep starting at stripped level,get out and deposit in temporary spoil heaps on site where directed</t>
  </si>
  <si>
    <t>m³</t>
  </si>
  <si>
    <t>Extra-over excavations for excavating in rock as described</t>
  </si>
  <si>
    <t>D</t>
  </si>
  <si>
    <t>Compacting and levelling of trench bottom</t>
  </si>
  <si>
    <t>E</t>
  </si>
  <si>
    <t>Treat the surfaces of hardcore filling, sides and bottoms of excavations with approved environmentally friendly antproofing treatment as described</t>
  </si>
  <si>
    <t>F</t>
  </si>
  <si>
    <t>Allow for keeping excavations free from general water, by pumping or any other suitable means necessary and for cleaning the bottoms of the excavations prior to concreting</t>
  </si>
  <si>
    <t>G</t>
  </si>
  <si>
    <t>Backfilling in layers not exceeding 100mm thick around foundations with selected materials arising from excavations</t>
  </si>
  <si>
    <t>H</t>
  </si>
  <si>
    <t>Load and transport surplus excavated materials to an authorized disposal site.</t>
  </si>
  <si>
    <t xml:space="preserve">Hardcore and the like filling </t>
  </si>
  <si>
    <t>I</t>
  </si>
  <si>
    <t>Supply and lay rocks as crush run stone base to the height of 200mm</t>
  </si>
  <si>
    <t>Concrete</t>
  </si>
  <si>
    <t>Plain in-situ concrete (Grade 15) as described</t>
  </si>
  <si>
    <t>J</t>
  </si>
  <si>
    <t xml:space="preserve">50mm Blinding in bases </t>
  </si>
  <si>
    <t>Vibrated Reinforced in-situ Concrete (Grade 30) as described</t>
  </si>
  <si>
    <t>K</t>
  </si>
  <si>
    <t>In bases/pad foundation in trenches</t>
  </si>
  <si>
    <t>L</t>
  </si>
  <si>
    <t xml:space="preserve">In 200mm thick pipe support plinths </t>
  </si>
  <si>
    <t>Reinforcement</t>
  </si>
  <si>
    <t>Steel Reinforcement steel cut to lengths,bent, cranked, hooked, tying wire ,distance blocks and ordinary spacers</t>
  </si>
  <si>
    <t>M</t>
  </si>
  <si>
    <t>Y12mm diameter bars and above in bases and columns</t>
  </si>
  <si>
    <t>Kg</t>
  </si>
  <si>
    <t>Formwork</t>
  </si>
  <si>
    <t>Sawn formwork as described</t>
  </si>
  <si>
    <t>N</t>
  </si>
  <si>
    <t>To vertical sides of plitnhs</t>
  </si>
  <si>
    <t>Box out holes</t>
  </si>
  <si>
    <t>O</t>
  </si>
  <si>
    <t xml:space="preserve">Circular, of diameter up to and including 1000 m for up to 1200mm pipes </t>
  </si>
  <si>
    <t>No.</t>
  </si>
  <si>
    <t>Brackets</t>
  </si>
  <si>
    <t>P</t>
  </si>
  <si>
    <t>80 x 6mm thick mild steel flat bar bracket with radius of 600mm primed with red oxide and finished with two coats aprroved gloss paint before installation as per drawing</t>
  </si>
  <si>
    <t>Anchors</t>
  </si>
  <si>
    <t>Q</t>
  </si>
  <si>
    <t>M16 Holding down bolts, 500mm long, grade 4.6 complete  with nuts and 80 x 80 x 10mm thick washer/locker plates</t>
  </si>
  <si>
    <t>Grouting</t>
  </si>
  <si>
    <t>R</t>
  </si>
  <si>
    <t>Dry mix concrete Grade 35MPa/19 mm to pipes</t>
  </si>
  <si>
    <t>SUBSTRUCTURE TOTAL CARRIED TO COLLECTION SUMMARY</t>
  </si>
  <si>
    <t>BILL No. 4</t>
  </si>
  <si>
    <t>GENERAL WORKS</t>
  </si>
  <si>
    <t>General site leveling and cleaning for handover</t>
  </si>
  <si>
    <t>GENERAL SUMMARY</t>
  </si>
  <si>
    <t>FROM SHIMUNGALU TO PUMP STATION 2</t>
  </si>
  <si>
    <t>BILL No. 1  PRELIMINARY &amp; GENERAL ITEMS</t>
  </si>
  <si>
    <t>BILL No. 2  DEMOLITION WORKS</t>
  </si>
  <si>
    <t>BILL No. 3  PUMP STATION BUILDING WORKS</t>
  </si>
  <si>
    <t>BILL No. 4  GENERAL WORKS</t>
  </si>
  <si>
    <t>TOTAL VAT 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</si>
</sst>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(* #,##0.00_);_(* \(#,##0.00\);_(* &quot;-&quot;??_);_(@_)"/>
    <numFmt numFmtId="168" formatCode="_ * #,##0.00_ ;_ * \-#,##0.00_ ;_ * &quot;-&quot;??_ ;_ @_ "/>
    <numFmt numFmtId="169" formatCode="0.0"/>
  </numFmts>
  <fonts count="1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name val="Century Gothic"/>
      <charset val="134"/>
    </font>
    <font>
      <b/>
      <sz val="11"/>
      <color theme="1"/>
      <name val="Century Gothic"/>
      <charset val="134"/>
    </font>
    <font>
      <sz val="11"/>
      <name val="Century Gothic"/>
      <charset val="134"/>
    </font>
    <font>
      <b/>
      <i/>
      <u/>
      <sz val="11"/>
      <name val="Century Gothic"/>
      <charset val="134"/>
    </font>
    <font>
      <b/>
      <u/>
      <sz val="11"/>
      <name val="Century Gothic"/>
      <charset val="134"/>
    </font>
    <font>
      <i/>
      <sz val="11"/>
      <name val="Century Gothic"/>
      <charset val="134"/>
    </font>
    <font>
      <sz val="11"/>
      <color theme="1"/>
      <name val="Century Gothic"/>
      <charset val="134"/>
    </font>
    <font>
      <b/>
      <u/>
      <sz val="11"/>
      <color theme="1"/>
      <name val="Century Gothic"/>
      <charset val="134"/>
    </font>
    <font>
      <u/>
      <sz val="11"/>
      <name val="Century Gothic"/>
      <charset val="134"/>
    </font>
    <font>
      <i/>
      <u/>
      <sz val="11"/>
      <name val="Century Gothic"/>
      <charset val="134"/>
    </font>
    <font>
      <b/>
      <sz val="12"/>
      <name val="Century Gothic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5" fillId="0" borderId="0"/>
  </cellStyleXfs>
  <cellXfs count="1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Font="1" applyBorder="1"/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/>
    <xf numFmtId="0" fontId="0" fillId="0" borderId="7" xfId="0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43" fontId="2" fillId="0" borderId="10" xfId="1" applyFont="1" applyFill="1" applyBorder="1" applyAlignment="1">
      <alignment horizontal="center" vertical="center"/>
    </xf>
    <xf numFmtId="43" fontId="2" fillId="0" borderId="9" xfId="1" applyFont="1" applyFill="1" applyBorder="1" applyAlignment="1">
      <alignment horizontal="center" vertical="center" wrapText="1"/>
    </xf>
    <xf numFmtId="43" fontId="2" fillId="0" borderId="9" xfId="1" applyFont="1" applyFill="1" applyBorder="1" applyAlignment="1">
      <alignment horizontal="right" vertical="center"/>
    </xf>
    <xf numFmtId="0" fontId="2" fillId="0" borderId="11" xfId="6" applyFont="1" applyBorder="1" applyAlignment="1">
      <alignment horizontal="center" vertical="center"/>
    </xf>
    <xf numFmtId="0" fontId="2" fillId="0" borderId="11" xfId="6" applyFont="1" applyBorder="1" applyAlignment="1">
      <alignment horizontal="left"/>
    </xf>
    <xf numFmtId="2" fontId="4" fillId="0" borderId="0" xfId="6" applyNumberFormat="1" applyFont="1" applyAlignment="1">
      <alignment horizontal="center" vertical="center"/>
    </xf>
    <xf numFmtId="2" fontId="2" fillId="0" borderId="11" xfId="6" applyNumberFormat="1" applyFont="1" applyBorder="1" applyAlignment="1">
      <alignment horizontal="center" vertical="center"/>
    </xf>
    <xf numFmtId="165" fontId="2" fillId="0" borderId="0" xfId="4" applyFont="1" applyFill="1" applyBorder="1" applyAlignment="1">
      <alignment horizontal="center" vertical="center"/>
    </xf>
    <xf numFmtId="165" fontId="2" fillId="0" borderId="11" xfId="4" applyFont="1" applyFill="1" applyBorder="1" applyAlignment="1">
      <alignment horizontal="right" vertical="top"/>
    </xf>
    <xf numFmtId="169" fontId="4" fillId="0" borderId="11" xfId="6" applyNumberFormat="1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2" fontId="4" fillId="0" borderId="11" xfId="6" applyNumberFormat="1" applyFont="1" applyBorder="1" applyAlignment="1">
      <alignment horizontal="center" vertical="center"/>
    </xf>
    <xf numFmtId="165" fontId="4" fillId="0" borderId="0" xfId="4" applyFont="1" applyFill="1" applyBorder="1" applyAlignment="1">
      <alignment horizontal="center" vertical="center"/>
    </xf>
    <xf numFmtId="0" fontId="5" fillId="0" borderId="11" xfId="6" applyFont="1" applyBorder="1" applyAlignment="1">
      <alignment horizontal="left" vertical="center" wrapText="1"/>
    </xf>
    <xf numFmtId="0" fontId="6" fillId="0" borderId="11" xfId="6" applyFont="1" applyBorder="1" applyAlignment="1">
      <alignment horizontal="left" wrapText="1"/>
    </xf>
    <xf numFmtId="0" fontId="7" fillId="0" borderId="11" xfId="6" applyFont="1" applyBorder="1" applyAlignment="1">
      <alignment horizontal="left" wrapText="1"/>
    </xf>
    <xf numFmtId="0" fontId="5" fillId="0" borderId="11" xfId="6" applyFont="1" applyBorder="1" applyAlignment="1">
      <alignment horizontal="left"/>
    </xf>
    <xf numFmtId="0" fontId="7" fillId="0" borderId="11" xfId="6" applyFont="1" applyBorder="1" applyAlignment="1">
      <alignment horizontal="left"/>
    </xf>
    <xf numFmtId="0" fontId="4" fillId="0" borderId="11" xfId="6" applyFont="1" applyBorder="1" applyAlignment="1">
      <alignment horizontal="left"/>
    </xf>
    <xf numFmtId="0" fontId="4" fillId="0" borderId="1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3" fontId="4" fillId="0" borderId="2" xfId="1" applyFont="1" applyFill="1" applyBorder="1" applyAlignment="1">
      <alignment horizontal="center"/>
    </xf>
    <xf numFmtId="43" fontId="4" fillId="0" borderId="3" xfId="1" applyFont="1" applyFill="1" applyBorder="1"/>
    <xf numFmtId="0" fontId="4" fillId="0" borderId="4" xfId="0" applyFont="1" applyBorder="1" applyAlignment="1">
      <alignment horizontal="center" vertical="center"/>
    </xf>
    <xf numFmtId="43" fontId="4" fillId="0" borderId="5" xfId="1" applyFont="1" applyFill="1" applyBorder="1"/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wrapText="1"/>
    </xf>
    <xf numFmtId="43" fontId="4" fillId="0" borderId="12" xfId="1" applyFont="1" applyFill="1" applyBorder="1" applyAlignment="1">
      <alignment horizontal="center"/>
    </xf>
    <xf numFmtId="43" fontId="4" fillId="0" borderId="12" xfId="1" applyFont="1" applyFill="1" applyBorder="1"/>
    <xf numFmtId="0" fontId="6" fillId="0" borderId="11" xfId="6" applyFont="1" applyBorder="1" applyAlignment="1">
      <alignment horizontal="left"/>
    </xf>
    <xf numFmtId="0" fontId="4" fillId="0" borderId="11" xfId="6" applyFont="1" applyBorder="1" applyAlignment="1">
      <alignment horizontal="center" vertical="center"/>
    </xf>
    <xf numFmtId="165" fontId="4" fillId="0" borderId="11" xfId="4" applyFont="1" applyFill="1" applyBorder="1" applyAlignment="1">
      <alignment horizontal="center" vertical="center"/>
    </xf>
    <xf numFmtId="0" fontId="4" fillId="0" borderId="11" xfId="6" applyFont="1" applyBorder="1" applyAlignment="1">
      <alignment horizontal="left" vertical="center" wrapText="1"/>
    </xf>
    <xf numFmtId="165" fontId="4" fillId="0" borderId="11" xfId="4" applyFont="1" applyFill="1" applyBorder="1" applyAlignment="1">
      <alignment horizontal="right" vertical="center"/>
    </xf>
    <xf numFmtId="165" fontId="4" fillId="0" borderId="11" xfId="4" applyFont="1" applyFill="1" applyBorder="1" applyAlignment="1">
      <alignment horizontal="right" vertical="top"/>
    </xf>
    <xf numFmtId="0" fontId="4" fillId="0" borderId="11" xfId="6" applyFont="1" applyBorder="1" applyAlignment="1">
      <alignment horizontal="left" wrapText="1"/>
    </xf>
    <xf numFmtId="0" fontId="4" fillId="0" borderId="9" xfId="6" applyFont="1" applyBorder="1" applyAlignment="1">
      <alignment horizontal="center" vertical="center"/>
    </xf>
    <xf numFmtId="0" fontId="2" fillId="0" borderId="9" xfId="6" applyFont="1" applyBorder="1" applyAlignment="1">
      <alignment horizontal="left" wrapText="1"/>
    </xf>
    <xf numFmtId="2" fontId="4" fillId="0" borderId="9" xfId="6" applyNumberFormat="1" applyFont="1" applyBorder="1" applyAlignment="1">
      <alignment horizontal="center" vertical="center"/>
    </xf>
    <xf numFmtId="165" fontId="2" fillId="0" borderId="9" xfId="4" applyFont="1" applyFill="1" applyBorder="1" applyAlignment="1">
      <alignment horizontal="center" vertical="center"/>
    </xf>
    <xf numFmtId="165" fontId="2" fillId="0" borderId="9" xfId="4" applyNumberFormat="1" applyFont="1" applyFill="1" applyBorder="1" applyAlignment="1">
      <alignment horizontal="left" vertical="center"/>
    </xf>
    <xf numFmtId="43" fontId="4" fillId="0" borderId="2" xfId="1" applyFont="1" applyFill="1" applyBorder="1"/>
    <xf numFmtId="0" fontId="2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4" fillId="0" borderId="7" xfId="7" applyFont="1" applyBorder="1" applyAlignment="1">
      <alignment horizontal="center" vertical="center"/>
    </xf>
    <xf numFmtId="43" fontId="4" fillId="0" borderId="7" xfId="1" applyFont="1" applyFill="1" applyBorder="1" applyAlignment="1">
      <alignment horizontal="center" vertical="center"/>
    </xf>
    <xf numFmtId="43" fontId="4" fillId="0" borderId="7" xfId="1" applyFont="1" applyFill="1" applyBorder="1" applyAlignment="1">
      <alignment vertical="center"/>
    </xf>
    <xf numFmtId="43" fontId="4" fillId="0" borderId="8" xfId="1" applyFont="1" applyFill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center" vertical="center"/>
    </xf>
    <xf numFmtId="43" fontId="2" fillId="0" borderId="9" xfId="1" applyFont="1" applyFill="1" applyBorder="1" applyAlignment="1">
      <alignment horizontal="center" vertical="center"/>
    </xf>
    <xf numFmtId="43" fontId="2" fillId="0" borderId="10" xfId="1" applyFont="1" applyFill="1" applyBorder="1" applyAlignment="1">
      <alignment horizontal="center"/>
    </xf>
    <xf numFmtId="43" fontId="2" fillId="0" borderId="9" xfId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1" xfId="0" applyFont="1" applyBorder="1"/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3" fontId="8" fillId="0" borderId="0" xfId="1" applyFont="1" applyBorder="1" applyAlignment="1">
      <alignment horizontal="center"/>
    </xf>
    <xf numFmtId="43" fontId="8" fillId="0" borderId="11" xfId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1" xfId="0" applyFont="1" applyBorder="1"/>
    <xf numFmtId="0" fontId="8" fillId="0" borderId="11" xfId="0" applyFont="1" applyBorder="1" applyAlignment="1">
      <alignment vertical="center" wrapText="1"/>
    </xf>
    <xf numFmtId="43" fontId="8" fillId="0" borderId="11" xfId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wrapText="1"/>
    </xf>
    <xf numFmtId="43" fontId="4" fillId="0" borderId="14" xfId="1" applyFont="1" applyFill="1" applyBorder="1" applyAlignment="1">
      <alignment horizontal="center"/>
    </xf>
    <xf numFmtId="43" fontId="4" fillId="0" borderId="14" xfId="1" applyFont="1" applyFill="1" applyBorder="1"/>
    <xf numFmtId="43" fontId="2" fillId="0" borderId="14" xfId="1" applyFont="1" applyFill="1" applyBorder="1"/>
    <xf numFmtId="0" fontId="2" fillId="0" borderId="14" xfId="0" applyFont="1" applyBorder="1" applyAlignment="1">
      <alignment vertical="center" wrapText="1"/>
    </xf>
    <xf numFmtId="43" fontId="4" fillId="0" borderId="14" xfId="1" applyFont="1" applyFill="1" applyBorder="1" applyAlignment="1">
      <alignment horizontal="center" vertical="center"/>
    </xf>
    <xf numFmtId="43" fontId="4" fillId="0" borderId="14" xfId="1" applyFont="1" applyFill="1" applyBorder="1" applyAlignment="1">
      <alignment vertical="center"/>
    </xf>
    <xf numFmtId="43" fontId="2" fillId="0" borderId="14" xfId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43" fontId="4" fillId="0" borderId="0" xfId="1" applyFont="1" applyFill="1" applyAlignment="1">
      <alignment horizontal="center"/>
    </xf>
    <xf numFmtId="43" fontId="4" fillId="0" borderId="0" xfId="1" applyFont="1" applyFill="1"/>
    <xf numFmtId="0" fontId="4" fillId="0" borderId="11" xfId="0" applyFont="1" applyBorder="1" applyAlignment="1">
      <alignment horizontal="center" vertical="center"/>
    </xf>
    <xf numFmtId="43" fontId="4" fillId="0" borderId="11" xfId="1" applyFont="1" applyFill="1" applyBorder="1" applyAlignment="1">
      <alignment horizontal="center"/>
    </xf>
    <xf numFmtId="43" fontId="4" fillId="0" borderId="11" xfId="1" applyFont="1" applyFill="1" applyBorder="1"/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wrapText="1"/>
    </xf>
    <xf numFmtId="0" fontId="10" fillId="0" borderId="11" xfId="0" applyFont="1" applyBorder="1" applyAlignment="1">
      <alignment vertical="center" wrapText="1"/>
    </xf>
    <xf numFmtId="43" fontId="4" fillId="0" borderId="11" xfId="1" applyFont="1" applyFill="1" applyBorder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3" fontId="4" fillId="0" borderId="11" xfId="1" applyFont="1" applyFill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43" fontId="4" fillId="0" borderId="5" xfId="1" applyFont="1" applyFill="1" applyBorder="1" applyAlignment="1">
      <alignment horizontal="center" vertical="center"/>
    </xf>
    <xf numFmtId="43" fontId="4" fillId="0" borderId="5" xfId="1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43" fontId="2" fillId="0" borderId="9" xfId="1" applyFont="1" applyFill="1" applyBorder="1" applyAlignment="1">
      <alignment vertical="center"/>
    </xf>
    <xf numFmtId="0" fontId="12" fillId="0" borderId="0" xfId="0" applyFont="1" applyAlignment="1">
      <alignment horizontal="center" wrapText="1"/>
    </xf>
    <xf numFmtId="0" fontId="2" fillId="0" borderId="12" xfId="0" applyFont="1" applyBorder="1" applyAlignment="1">
      <alignment wrapText="1"/>
    </xf>
    <xf numFmtId="0" fontId="4" fillId="0" borderId="12" xfId="7" applyFont="1" applyBorder="1" applyAlignment="1">
      <alignment horizontal="center" vertical="center"/>
    </xf>
    <xf numFmtId="43" fontId="4" fillId="0" borderId="12" xfId="1" applyFont="1" applyFill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left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4" fillId="0" borderId="11" xfId="5" applyFont="1" applyBorder="1" applyAlignment="1">
      <alignment vertical="center" wrapText="1"/>
    </xf>
    <xf numFmtId="168" fontId="4" fillId="0" borderId="11" xfId="2" applyFont="1" applyFill="1" applyBorder="1" applyAlignment="1">
      <alignment horizontal="center" vertical="center"/>
    </xf>
    <xf numFmtId="43" fontId="4" fillId="0" borderId="11" xfId="1" applyFont="1" applyBorder="1" applyAlignment="1">
      <alignment horizontal="center" vertical="center"/>
    </xf>
    <xf numFmtId="0" fontId="2" fillId="0" borderId="12" xfId="5" applyFont="1" applyBorder="1" applyAlignment="1">
      <alignment horizontal="right" vertical="center" wrapText="1"/>
    </xf>
    <xf numFmtId="0" fontId="4" fillId="0" borderId="12" xfId="5" applyFont="1" applyBorder="1" applyAlignment="1">
      <alignment horizontal="center" vertical="center"/>
    </xf>
    <xf numFmtId="168" fontId="4" fillId="0" borderId="12" xfId="2" applyFont="1" applyFill="1" applyBorder="1" applyAlignment="1">
      <alignment horizontal="center" vertical="center"/>
    </xf>
    <xf numFmtId="43" fontId="2" fillId="0" borderId="12" xfId="1" applyFont="1" applyBorder="1" applyAlignment="1">
      <alignment horizontal="center" vertical="center"/>
    </xf>
    <xf numFmtId="0" fontId="4" fillId="0" borderId="14" xfId="5" applyFont="1" applyBorder="1" applyAlignment="1">
      <alignment vertical="center" wrapText="1"/>
    </xf>
    <xf numFmtId="0" fontId="4" fillId="0" borderId="14" xfId="5" applyFont="1" applyBorder="1" applyAlignment="1">
      <alignment horizontal="center" vertical="center"/>
    </xf>
    <xf numFmtId="168" fontId="4" fillId="0" borderId="14" xfId="2" applyFont="1" applyFill="1" applyBorder="1" applyAlignment="1">
      <alignment horizontal="center" vertical="center"/>
    </xf>
    <xf numFmtId="43" fontId="4" fillId="0" borderId="14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</cellXfs>
  <cellStyles count="8">
    <cellStyle name="Comma" xfId="1" builtinId="3"/>
    <cellStyle name="Comma 2" xfId="2" xr:uid="{00000000-0005-0000-0000-000031000000}"/>
    <cellStyle name="Comma 3" xfId="3" xr:uid="{00000000-0005-0000-0000-000032000000}"/>
    <cellStyle name="Comma 3 5" xfId="4" xr:uid="{00000000-0005-0000-0000-000033000000}"/>
    <cellStyle name="Normal" xfId="0" builtinId="0"/>
    <cellStyle name="Normal 2" xfId="5" xr:uid="{00000000-0005-0000-0000-000034000000}"/>
    <cellStyle name="Normal 4 3" xfId="6" xr:uid="{00000000-0005-0000-0000-000035000000}"/>
    <cellStyle name="Normal 6" xfId="7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view="pageBreakPreview" topLeftCell="A148" zoomScaleNormal="100" workbookViewId="0">
      <selection activeCell="E116" sqref="E116"/>
    </sheetView>
  </sheetViews>
  <sheetFormatPr defaultColWidth="9" defaultRowHeight="14.4"/>
  <cols>
    <col min="1" max="1" width="8.33203125" customWidth="1"/>
    <col min="2" max="2" width="56.33203125" customWidth="1"/>
    <col min="3" max="3" width="9.33203125" style="2" customWidth="1"/>
    <col min="4" max="4" width="11.88671875" style="2" customWidth="1"/>
    <col min="5" max="5" width="15.109375" style="2" customWidth="1"/>
    <col min="6" max="6" width="20.44140625" customWidth="1"/>
  </cols>
  <sheetData>
    <row r="1" spans="1:6">
      <c r="A1" s="3"/>
      <c r="B1" s="4"/>
      <c r="C1" s="5"/>
      <c r="D1" s="5"/>
      <c r="E1" s="5"/>
      <c r="F1" s="6"/>
    </row>
    <row r="2" spans="1:6" ht="14.4" customHeight="1">
      <c r="A2" s="7"/>
      <c r="B2" s="132" t="s">
        <v>0</v>
      </c>
      <c r="C2" s="132"/>
      <c r="D2" s="132"/>
      <c r="E2" s="132"/>
      <c r="F2" s="8"/>
    </row>
    <row r="3" spans="1:6">
      <c r="A3" s="9"/>
      <c r="B3" s="132" t="s">
        <v>1</v>
      </c>
      <c r="C3" s="132"/>
      <c r="D3" s="132"/>
      <c r="E3" s="132"/>
      <c r="F3" s="10"/>
    </row>
    <row r="4" spans="1:6">
      <c r="A4" s="9"/>
      <c r="B4" s="133" t="s">
        <v>2</v>
      </c>
      <c r="C4" s="133"/>
      <c r="D4" s="133"/>
      <c r="E4" s="133"/>
      <c r="F4" s="10"/>
    </row>
    <row r="5" spans="1:6">
      <c r="A5" s="11"/>
      <c r="B5" s="134" t="s">
        <v>3</v>
      </c>
      <c r="C5" s="134"/>
      <c r="D5" s="134"/>
      <c r="E5" s="134"/>
      <c r="F5" s="12"/>
    </row>
    <row r="6" spans="1:6">
      <c r="A6" s="11"/>
      <c r="B6" s="134" t="s">
        <v>4</v>
      </c>
      <c r="C6" s="134"/>
      <c r="D6" s="134"/>
      <c r="E6" s="134"/>
      <c r="F6" s="12"/>
    </row>
    <row r="7" spans="1:6">
      <c r="A7" s="11"/>
      <c r="B7" s="134" t="s">
        <v>5</v>
      </c>
      <c r="C7" s="134"/>
      <c r="D7" s="134"/>
      <c r="E7" s="134"/>
      <c r="F7" s="12"/>
    </row>
    <row r="8" spans="1:6">
      <c r="A8" s="13"/>
      <c r="B8" s="14"/>
      <c r="C8" s="15"/>
      <c r="D8" s="15"/>
      <c r="E8" s="15"/>
      <c r="F8" s="16"/>
    </row>
    <row r="9" spans="1:6">
      <c r="A9" s="17" t="s">
        <v>6</v>
      </c>
      <c r="B9" s="18" t="s">
        <v>7</v>
      </c>
      <c r="C9" s="19" t="s">
        <v>8</v>
      </c>
      <c r="D9" s="20" t="s">
        <v>9</v>
      </c>
      <c r="E9" s="19" t="s">
        <v>10</v>
      </c>
      <c r="F9" s="21" t="s">
        <v>11</v>
      </c>
    </row>
    <row r="10" spans="1:6">
      <c r="A10" s="22"/>
      <c r="B10" s="23"/>
      <c r="C10" s="24"/>
      <c r="D10" s="25"/>
      <c r="E10" s="26"/>
      <c r="F10" s="27"/>
    </row>
    <row r="11" spans="1:6">
      <c r="A11" s="28"/>
      <c r="B11" s="23" t="s">
        <v>12</v>
      </c>
      <c r="C11" s="29"/>
      <c r="D11" s="30"/>
      <c r="E11" s="31"/>
      <c r="F11" s="27"/>
    </row>
    <row r="12" spans="1:6">
      <c r="A12" s="28"/>
      <c r="B12" s="23"/>
      <c r="C12" s="29"/>
      <c r="D12" s="30"/>
      <c r="E12" s="31"/>
      <c r="F12" s="27"/>
    </row>
    <row r="13" spans="1:6" ht="41.4">
      <c r="A13" s="28"/>
      <c r="B13" s="32" t="s">
        <v>13</v>
      </c>
      <c r="C13" s="29"/>
      <c r="D13" s="30"/>
      <c r="E13" s="31"/>
      <c r="F13" s="27"/>
    </row>
    <row r="14" spans="1:6">
      <c r="A14" s="28"/>
      <c r="B14" s="33"/>
      <c r="C14" s="29"/>
      <c r="D14" s="30"/>
      <c r="E14" s="31"/>
      <c r="F14" s="27"/>
    </row>
    <row r="15" spans="1:6" ht="42">
      <c r="A15" s="28" t="s">
        <v>14</v>
      </c>
      <c r="B15" s="34" t="s">
        <v>15</v>
      </c>
      <c r="C15" s="29"/>
      <c r="D15" s="30"/>
      <c r="E15" s="31"/>
      <c r="F15" s="27"/>
    </row>
    <row r="16" spans="1:6">
      <c r="A16" s="28"/>
      <c r="B16" s="35"/>
      <c r="C16" s="29"/>
      <c r="D16" s="30"/>
      <c r="E16" s="31"/>
      <c r="F16" s="27"/>
    </row>
    <row r="17" spans="1:6" ht="55.8">
      <c r="A17" s="28" t="s">
        <v>16</v>
      </c>
      <c r="B17" s="34" t="s">
        <v>17</v>
      </c>
      <c r="C17" s="29"/>
      <c r="D17" s="30"/>
      <c r="E17" s="31"/>
      <c r="F17" s="27"/>
    </row>
    <row r="18" spans="1:6">
      <c r="A18" s="28"/>
      <c r="B18" s="36"/>
      <c r="C18" s="29"/>
      <c r="D18" s="30"/>
      <c r="E18" s="31"/>
      <c r="F18" s="27"/>
    </row>
    <row r="19" spans="1:6" ht="28.2">
      <c r="A19" s="28" t="s">
        <v>18</v>
      </c>
      <c r="B19" s="34" t="s">
        <v>19</v>
      </c>
      <c r="C19" s="29"/>
      <c r="D19" s="30"/>
      <c r="E19" s="31"/>
      <c r="F19" s="27"/>
    </row>
    <row r="20" spans="1:6">
      <c r="A20" s="28"/>
      <c r="B20" s="36"/>
      <c r="C20" s="29"/>
      <c r="D20" s="30"/>
      <c r="E20" s="31"/>
      <c r="F20" s="27"/>
    </row>
    <row r="21" spans="1:6" ht="42">
      <c r="A21" s="28" t="s">
        <v>20</v>
      </c>
      <c r="B21" s="34" t="s">
        <v>21</v>
      </c>
      <c r="C21" s="29"/>
      <c r="D21" s="30"/>
      <c r="E21" s="31"/>
      <c r="F21" s="27"/>
    </row>
    <row r="22" spans="1:6">
      <c r="A22" s="28"/>
      <c r="B22" s="36"/>
      <c r="C22" s="29"/>
      <c r="D22" s="30"/>
      <c r="E22" s="31"/>
      <c r="F22" s="27"/>
    </row>
    <row r="23" spans="1:6" ht="42">
      <c r="A23" s="28" t="s">
        <v>22</v>
      </c>
      <c r="B23" s="34" t="s">
        <v>23</v>
      </c>
      <c r="C23" s="29"/>
      <c r="D23" s="30"/>
      <c r="E23" s="31"/>
      <c r="F23" s="27"/>
    </row>
    <row r="24" spans="1:6">
      <c r="A24" s="28"/>
      <c r="B24" s="36"/>
      <c r="C24" s="29"/>
      <c r="D24" s="30"/>
      <c r="E24" s="31"/>
      <c r="F24" s="27"/>
    </row>
    <row r="25" spans="1:6" ht="42">
      <c r="A25" s="28" t="s">
        <v>24</v>
      </c>
      <c r="B25" s="34" t="s">
        <v>25</v>
      </c>
      <c r="C25" s="29"/>
      <c r="D25" s="30"/>
      <c r="E25" s="31"/>
      <c r="F25" s="27"/>
    </row>
    <row r="26" spans="1:6">
      <c r="A26" s="28"/>
      <c r="B26" s="36"/>
      <c r="C26" s="29"/>
      <c r="D26" s="30"/>
      <c r="E26" s="31"/>
      <c r="F26" s="27"/>
    </row>
    <row r="27" spans="1:6" ht="42">
      <c r="A27" s="28" t="s">
        <v>26</v>
      </c>
      <c r="B27" s="34" t="s">
        <v>27</v>
      </c>
      <c r="C27" s="29"/>
      <c r="D27" s="30"/>
      <c r="E27" s="31"/>
      <c r="F27" s="27"/>
    </row>
    <row r="28" spans="1:6">
      <c r="A28" s="28"/>
      <c r="B28" s="36"/>
      <c r="C28" s="29"/>
      <c r="D28" s="30"/>
      <c r="E28" s="31"/>
      <c r="F28" s="27"/>
    </row>
    <row r="29" spans="1:6" ht="42">
      <c r="A29" s="28" t="s">
        <v>28</v>
      </c>
      <c r="B29" s="34" t="s">
        <v>29</v>
      </c>
      <c r="C29" s="29"/>
      <c r="D29" s="30"/>
      <c r="E29" s="31"/>
      <c r="F29" s="27"/>
    </row>
    <row r="30" spans="1:6">
      <c r="A30" s="28"/>
      <c r="B30" s="36"/>
      <c r="C30" s="29"/>
      <c r="D30" s="30"/>
      <c r="E30" s="31"/>
      <c r="F30" s="27"/>
    </row>
    <row r="31" spans="1:6" ht="28.2">
      <c r="A31" s="28" t="s">
        <v>30</v>
      </c>
      <c r="B31" s="34" t="s">
        <v>31</v>
      </c>
      <c r="C31" s="29"/>
      <c r="D31" s="30"/>
      <c r="E31" s="31"/>
      <c r="F31" s="27"/>
    </row>
    <row r="32" spans="1:6">
      <c r="A32" s="28"/>
      <c r="B32" s="36"/>
      <c r="C32" s="29"/>
      <c r="D32" s="30"/>
      <c r="E32" s="31"/>
      <c r="F32" s="27"/>
    </row>
    <row r="33" spans="1:6" ht="28.2">
      <c r="A33" s="28" t="s">
        <v>32</v>
      </c>
      <c r="B33" s="34" t="s">
        <v>33</v>
      </c>
      <c r="C33" s="29"/>
      <c r="D33" s="30"/>
      <c r="E33" s="31"/>
      <c r="F33" s="27"/>
    </row>
    <row r="34" spans="1:6">
      <c r="A34" s="28"/>
      <c r="B34" s="34"/>
      <c r="C34" s="29"/>
      <c r="D34" s="30"/>
      <c r="E34" s="31"/>
      <c r="F34" s="27"/>
    </row>
    <row r="35" spans="1:6" ht="42">
      <c r="A35" s="28" t="s">
        <v>34</v>
      </c>
      <c r="B35" s="34" t="s">
        <v>35</v>
      </c>
      <c r="C35" s="29"/>
      <c r="D35" s="30"/>
      <c r="E35" s="31"/>
      <c r="F35" s="27"/>
    </row>
    <row r="36" spans="1:6">
      <c r="A36" s="28"/>
      <c r="B36" s="37"/>
      <c r="C36" s="29"/>
      <c r="D36" s="30"/>
      <c r="E36" s="31"/>
      <c r="F36" s="27"/>
    </row>
    <row r="37" spans="1:6" ht="28.2">
      <c r="A37" s="28" t="s">
        <v>36</v>
      </c>
      <c r="B37" s="34" t="s">
        <v>37</v>
      </c>
      <c r="C37" s="29"/>
      <c r="D37" s="30"/>
      <c r="E37" s="31"/>
      <c r="F37" s="27"/>
    </row>
    <row r="38" spans="1:6">
      <c r="A38" s="28"/>
      <c r="B38" s="36"/>
      <c r="C38" s="29"/>
      <c r="D38" s="30"/>
      <c r="E38" s="31"/>
      <c r="F38" s="27"/>
    </row>
    <row r="39" spans="1:6" ht="28.2">
      <c r="A39" s="28" t="s">
        <v>38</v>
      </c>
      <c r="B39" s="38" t="s">
        <v>39</v>
      </c>
      <c r="C39" s="29"/>
      <c r="D39" s="30"/>
      <c r="E39" s="31"/>
      <c r="F39" s="27"/>
    </row>
    <row r="40" spans="1:6">
      <c r="A40" s="28"/>
      <c r="B40" s="36"/>
      <c r="C40" s="29"/>
      <c r="D40" s="30"/>
      <c r="E40" s="31"/>
      <c r="F40" s="27"/>
    </row>
    <row r="41" spans="1:6" ht="42">
      <c r="A41" s="28" t="s">
        <v>40</v>
      </c>
      <c r="B41" s="34" t="s">
        <v>41</v>
      </c>
      <c r="C41" s="29"/>
      <c r="D41" s="30"/>
      <c r="E41" s="31"/>
      <c r="F41" s="27"/>
    </row>
    <row r="42" spans="1:6">
      <c r="A42" s="39"/>
      <c r="B42" s="40"/>
      <c r="C42" s="41"/>
      <c r="D42" s="41"/>
      <c r="E42" s="41"/>
      <c r="F42" s="42"/>
    </row>
    <row r="43" spans="1:6">
      <c r="A43" s="43"/>
      <c r="B43" s="135" t="s">
        <v>42</v>
      </c>
      <c r="C43" s="135"/>
      <c r="D43" s="135"/>
      <c r="E43" s="135"/>
      <c r="F43" s="44"/>
    </row>
    <row r="44" spans="1:6">
      <c r="A44" s="43"/>
      <c r="B44" s="135" t="s">
        <v>43</v>
      </c>
      <c r="C44" s="135"/>
      <c r="D44" s="135"/>
      <c r="E44" s="135"/>
      <c r="F44" s="44"/>
    </row>
    <row r="45" spans="1:6">
      <c r="A45" s="17" t="s">
        <v>6</v>
      </c>
      <c r="B45" s="18" t="s">
        <v>7</v>
      </c>
      <c r="C45" s="19" t="s">
        <v>8</v>
      </c>
      <c r="D45" s="20" t="s">
        <v>9</v>
      </c>
      <c r="E45" s="19" t="s">
        <v>10</v>
      </c>
      <c r="F45" s="21" t="s">
        <v>11</v>
      </c>
    </row>
    <row r="46" spans="1:6">
      <c r="A46" s="45"/>
      <c r="B46" s="46"/>
      <c r="C46" s="47"/>
      <c r="D46" s="47"/>
      <c r="E46" s="47"/>
      <c r="F46" s="48"/>
    </row>
    <row r="47" spans="1:6">
      <c r="A47" s="28"/>
      <c r="B47" s="49" t="s">
        <v>44</v>
      </c>
      <c r="C47" s="50"/>
      <c r="D47" s="30"/>
      <c r="E47" s="51"/>
      <c r="F47" s="27"/>
    </row>
    <row r="48" spans="1:6">
      <c r="A48" s="28"/>
      <c r="B48" s="37"/>
      <c r="C48" s="50"/>
      <c r="D48" s="30"/>
      <c r="E48" s="51"/>
      <c r="F48" s="27"/>
    </row>
    <row r="49" spans="1:6" s="1" customFormat="1">
      <c r="A49" s="28" t="s">
        <v>45</v>
      </c>
      <c r="B49" s="52" t="s">
        <v>46</v>
      </c>
      <c r="C49" s="50" t="s">
        <v>47</v>
      </c>
      <c r="D49" s="30">
        <v>1</v>
      </c>
      <c r="E49" s="51"/>
      <c r="F49" s="53" t="s">
        <v>48</v>
      </c>
    </row>
    <row r="50" spans="1:6">
      <c r="A50" s="28"/>
      <c r="B50" s="37"/>
      <c r="C50" s="50"/>
      <c r="D50" s="30"/>
      <c r="E50" s="51"/>
      <c r="F50" s="54"/>
    </row>
    <row r="51" spans="1:6" ht="28.2">
      <c r="A51" s="28" t="s">
        <v>49</v>
      </c>
      <c r="B51" s="55" t="s">
        <v>50</v>
      </c>
      <c r="C51" s="50" t="s">
        <v>47</v>
      </c>
      <c r="D51" s="30">
        <v>1</v>
      </c>
      <c r="E51" s="51"/>
      <c r="F51" s="54" t="s">
        <v>48</v>
      </c>
    </row>
    <row r="52" spans="1:6">
      <c r="A52" s="28"/>
      <c r="B52" s="37"/>
      <c r="C52" s="50"/>
      <c r="D52" s="30"/>
      <c r="E52" s="51"/>
      <c r="F52" s="27"/>
    </row>
    <row r="53" spans="1:6">
      <c r="A53" s="56"/>
      <c r="B53" s="57" t="s">
        <v>51</v>
      </c>
      <c r="C53" s="56"/>
      <c r="D53" s="58"/>
      <c r="E53" s="59" t="s">
        <v>52</v>
      </c>
      <c r="F53" s="60">
        <v>72362</v>
      </c>
    </row>
    <row r="54" spans="1:6">
      <c r="A54" s="39"/>
      <c r="B54" s="40"/>
      <c r="C54" s="41"/>
      <c r="D54" s="61"/>
      <c r="E54" s="61"/>
      <c r="F54" s="42"/>
    </row>
    <row r="55" spans="1:6">
      <c r="A55" s="62"/>
      <c r="B55" s="136" t="s">
        <v>53</v>
      </c>
      <c r="C55" s="136"/>
      <c r="D55" s="136"/>
      <c r="E55" s="136"/>
      <c r="F55" s="44"/>
    </row>
    <row r="56" spans="1:6">
      <c r="A56" s="43"/>
      <c r="B56" s="136" t="s">
        <v>54</v>
      </c>
      <c r="C56" s="136"/>
      <c r="D56" s="136"/>
      <c r="E56" s="136"/>
      <c r="F56" s="44"/>
    </row>
    <row r="57" spans="1:6">
      <c r="A57" s="63"/>
      <c r="B57" s="64"/>
      <c r="C57" s="65"/>
      <c r="D57" s="66"/>
      <c r="E57" s="67"/>
      <c r="F57" s="68"/>
    </row>
    <row r="58" spans="1:6">
      <c r="A58" s="69" t="s">
        <v>6</v>
      </c>
      <c r="B58" s="70" t="s">
        <v>7</v>
      </c>
      <c r="C58" s="71" t="s">
        <v>8</v>
      </c>
      <c r="D58" s="72" t="s">
        <v>9</v>
      </c>
      <c r="E58" s="73" t="s">
        <v>10</v>
      </c>
      <c r="F58" s="74" t="s">
        <v>11</v>
      </c>
    </row>
    <row r="59" spans="1:6">
      <c r="A59" s="75"/>
      <c r="B59" s="76"/>
      <c r="C59" s="77"/>
      <c r="D59" s="78"/>
      <c r="E59" s="79"/>
      <c r="F59" s="80"/>
    </row>
    <row r="60" spans="1:6">
      <c r="A60" s="81"/>
      <c r="B60" s="82" t="s">
        <v>55</v>
      </c>
      <c r="C60" s="78"/>
      <c r="D60" s="78"/>
      <c r="E60" s="80"/>
      <c r="F60" s="80"/>
    </row>
    <row r="61" spans="1:6">
      <c r="A61" s="81"/>
      <c r="B61" s="76"/>
      <c r="C61" s="78"/>
      <c r="D61" s="78"/>
      <c r="E61" s="80"/>
      <c r="F61" s="80"/>
    </row>
    <row r="62" spans="1:6" ht="41.4">
      <c r="A62" s="78" t="s">
        <v>45</v>
      </c>
      <c r="B62" s="83" t="s">
        <v>56</v>
      </c>
      <c r="C62" s="78" t="s">
        <v>47</v>
      </c>
      <c r="D62" s="78">
        <v>1</v>
      </c>
      <c r="E62" s="84">
        <v>15000</v>
      </c>
      <c r="F62" s="53">
        <f>D62*E62</f>
        <v>15000</v>
      </c>
    </row>
    <row r="63" spans="1:6">
      <c r="A63" s="81"/>
      <c r="B63" s="76"/>
      <c r="C63" s="78"/>
      <c r="D63" s="78"/>
      <c r="E63" s="80"/>
      <c r="F63" s="80"/>
    </row>
    <row r="64" spans="1:6">
      <c r="A64" s="81" t="s">
        <v>49</v>
      </c>
      <c r="B64" s="76" t="s">
        <v>57</v>
      </c>
      <c r="C64" s="78" t="s">
        <v>47</v>
      </c>
      <c r="D64" s="78">
        <v>1</v>
      </c>
      <c r="E64" s="80">
        <v>5000</v>
      </c>
      <c r="F64" s="53">
        <f>D64*E64</f>
        <v>5000</v>
      </c>
    </row>
    <row r="65" spans="1:6">
      <c r="A65" s="81"/>
      <c r="B65" s="76"/>
      <c r="C65" s="78"/>
      <c r="D65" s="78"/>
      <c r="E65" s="80"/>
      <c r="F65" s="53"/>
    </row>
    <row r="66" spans="1:6" s="1" customFormat="1" ht="41.4">
      <c r="A66" s="78" t="s">
        <v>58</v>
      </c>
      <c r="B66" s="83" t="s">
        <v>59</v>
      </c>
      <c r="C66" s="78" t="s">
        <v>47</v>
      </c>
      <c r="D66" s="78">
        <v>1</v>
      </c>
      <c r="E66" s="84">
        <v>10000</v>
      </c>
      <c r="F66" s="53">
        <f>D66*E66</f>
        <v>10000</v>
      </c>
    </row>
    <row r="67" spans="1:6">
      <c r="A67" s="85"/>
      <c r="B67" s="86"/>
      <c r="C67" s="87"/>
      <c r="D67" s="88"/>
      <c r="E67" s="88"/>
      <c r="F67" s="89"/>
    </row>
    <row r="68" spans="1:6">
      <c r="A68" s="85"/>
      <c r="B68" s="90" t="s">
        <v>60</v>
      </c>
      <c r="C68" s="91"/>
      <c r="D68" s="92"/>
      <c r="E68" s="92" t="s">
        <v>52</v>
      </c>
      <c r="F68" s="93">
        <f>SUM(F62:F66)</f>
        <v>30000</v>
      </c>
    </row>
    <row r="69" spans="1:6">
      <c r="A69" s="94"/>
      <c r="B69" s="95"/>
      <c r="C69" s="96"/>
      <c r="D69" s="96"/>
      <c r="E69" s="96"/>
      <c r="F69" s="97"/>
    </row>
    <row r="70" spans="1:6">
      <c r="A70" s="94"/>
      <c r="B70" s="136" t="s">
        <v>61</v>
      </c>
      <c r="C70" s="136"/>
      <c r="D70" s="136"/>
      <c r="E70" s="136"/>
      <c r="F70" s="97"/>
    </row>
    <row r="71" spans="1:6">
      <c r="A71" s="94"/>
      <c r="B71" s="136" t="s">
        <v>62</v>
      </c>
      <c r="C71" s="136"/>
      <c r="D71" s="136"/>
      <c r="E71" s="136"/>
      <c r="F71" s="97"/>
    </row>
    <row r="72" spans="1:6">
      <c r="A72" s="94"/>
      <c r="B72" s="95"/>
      <c r="C72" s="96"/>
      <c r="D72" s="96"/>
      <c r="E72" s="96"/>
      <c r="F72" s="97"/>
    </row>
    <row r="73" spans="1:6">
      <c r="A73" s="17" t="s">
        <v>6</v>
      </c>
      <c r="B73" s="18" t="s">
        <v>7</v>
      </c>
      <c r="C73" s="19" t="s">
        <v>8</v>
      </c>
      <c r="D73" s="20" t="s">
        <v>9</v>
      </c>
      <c r="E73" s="19" t="s">
        <v>10</v>
      </c>
      <c r="F73" s="21" t="s">
        <v>11</v>
      </c>
    </row>
    <row r="74" spans="1:6">
      <c r="A74" s="98"/>
      <c r="B74" s="38"/>
      <c r="C74" s="99"/>
      <c r="D74" s="96"/>
      <c r="E74" s="99"/>
      <c r="F74" s="100"/>
    </row>
    <row r="75" spans="1:6">
      <c r="A75" s="101">
        <v>1</v>
      </c>
      <c r="B75" s="102" t="s">
        <v>63</v>
      </c>
      <c r="C75" s="99"/>
      <c r="D75" s="96"/>
      <c r="E75" s="99"/>
      <c r="F75" s="100"/>
    </row>
    <row r="76" spans="1:6">
      <c r="A76" s="98"/>
      <c r="B76" s="38"/>
      <c r="C76" s="99"/>
      <c r="D76" s="96"/>
      <c r="E76" s="99"/>
      <c r="F76" s="100"/>
    </row>
    <row r="77" spans="1:6" s="1" customFormat="1">
      <c r="A77" s="98"/>
      <c r="B77" s="103" t="s">
        <v>64</v>
      </c>
      <c r="C77" s="104"/>
      <c r="D77" s="105"/>
      <c r="E77" s="104"/>
      <c r="F77" s="106">
        <f>D77*E77</f>
        <v>0</v>
      </c>
    </row>
    <row r="78" spans="1:6" s="1" customFormat="1">
      <c r="A78" s="98"/>
      <c r="B78" s="107"/>
      <c r="C78" s="104"/>
      <c r="D78" s="105"/>
      <c r="E78" s="104"/>
      <c r="F78" s="106"/>
    </row>
    <row r="79" spans="1:6" s="1" customFormat="1" ht="27.6">
      <c r="A79" s="98" t="s">
        <v>65</v>
      </c>
      <c r="B79" s="107" t="s">
        <v>66</v>
      </c>
      <c r="C79" s="104"/>
      <c r="D79" s="105"/>
      <c r="E79" s="104"/>
      <c r="F79" s="106"/>
    </row>
    <row r="80" spans="1:6" s="1" customFormat="1">
      <c r="A80" s="98"/>
      <c r="B80" s="107"/>
      <c r="C80" s="104"/>
      <c r="D80" s="105"/>
      <c r="E80" s="104"/>
      <c r="F80" s="106"/>
    </row>
    <row r="81" spans="1:6" s="1" customFormat="1">
      <c r="A81" s="98"/>
      <c r="B81" s="103" t="s">
        <v>55</v>
      </c>
      <c r="C81" s="104"/>
      <c r="D81" s="105"/>
      <c r="E81" s="104"/>
      <c r="F81" s="106"/>
    </row>
    <row r="82" spans="1:6" s="1" customFormat="1">
      <c r="A82" s="98"/>
      <c r="B82" s="107"/>
      <c r="C82" s="104"/>
      <c r="D82" s="105"/>
      <c r="E82" s="104"/>
      <c r="F82" s="106"/>
    </row>
    <row r="83" spans="1:6" s="1" customFormat="1" ht="41.4">
      <c r="A83" s="98" t="s">
        <v>45</v>
      </c>
      <c r="B83" s="107" t="s">
        <v>67</v>
      </c>
      <c r="C83" s="104" t="s">
        <v>68</v>
      </c>
      <c r="D83" s="105">
        <v>247</v>
      </c>
      <c r="E83" s="104">
        <v>50</v>
      </c>
      <c r="F83" s="106">
        <f>D83*E83</f>
        <v>12350</v>
      </c>
    </row>
    <row r="84" spans="1:6" s="1" customFormat="1">
      <c r="A84" s="98"/>
      <c r="B84" s="107"/>
      <c r="C84" s="104"/>
      <c r="D84" s="105"/>
      <c r="E84" s="104"/>
      <c r="F84" s="106"/>
    </row>
    <row r="85" spans="1:6" s="1" customFormat="1" ht="55.2">
      <c r="A85" s="98" t="s">
        <v>49</v>
      </c>
      <c r="B85" s="107" t="s">
        <v>69</v>
      </c>
      <c r="C85" s="104" t="s">
        <v>70</v>
      </c>
      <c r="D85" s="105">
        <v>55</v>
      </c>
      <c r="E85" s="104">
        <v>65</v>
      </c>
      <c r="F85" s="106">
        <f>D85*E85</f>
        <v>3575</v>
      </c>
    </row>
    <row r="86" spans="1:6" s="1" customFormat="1">
      <c r="A86" s="98"/>
      <c r="B86" s="107"/>
      <c r="C86" s="104"/>
      <c r="D86" s="105"/>
      <c r="E86" s="104"/>
      <c r="F86" s="106"/>
    </row>
    <row r="87" spans="1:6" s="1" customFormat="1" ht="27.6">
      <c r="A87" s="98" t="s">
        <v>58</v>
      </c>
      <c r="B87" s="107" t="s">
        <v>71</v>
      </c>
      <c r="C87" s="104" t="s">
        <v>47</v>
      </c>
      <c r="D87" s="105">
        <v>7</v>
      </c>
      <c r="E87" s="104">
        <v>70</v>
      </c>
      <c r="F87" s="106">
        <f>D87*E87</f>
        <v>490</v>
      </c>
    </row>
    <row r="88" spans="1:6" s="1" customFormat="1">
      <c r="A88" s="98"/>
      <c r="B88" s="107"/>
      <c r="C88" s="104"/>
      <c r="D88" s="105"/>
      <c r="E88" s="104"/>
      <c r="F88" s="106"/>
    </row>
    <row r="89" spans="1:6" s="1" customFormat="1">
      <c r="A89" s="98" t="s">
        <v>72</v>
      </c>
      <c r="B89" s="107" t="s">
        <v>73</v>
      </c>
      <c r="C89" s="104" t="s">
        <v>68</v>
      </c>
      <c r="D89" s="105">
        <v>203</v>
      </c>
      <c r="E89" s="104">
        <v>150</v>
      </c>
      <c r="F89" s="106">
        <f>D89*E89</f>
        <v>30450</v>
      </c>
    </row>
    <row r="90" spans="1:6" s="1" customFormat="1">
      <c r="A90" s="98"/>
      <c r="B90" s="107"/>
      <c r="C90" s="104"/>
      <c r="D90" s="105"/>
      <c r="E90" s="104"/>
      <c r="F90" s="106"/>
    </row>
    <row r="91" spans="1:6" s="1" customFormat="1" ht="41.4">
      <c r="A91" s="98" t="s">
        <v>74</v>
      </c>
      <c r="B91" s="107" t="s">
        <v>75</v>
      </c>
      <c r="C91" s="104" t="s">
        <v>68</v>
      </c>
      <c r="D91" s="105">
        <v>273</v>
      </c>
      <c r="E91" s="104">
        <v>10</v>
      </c>
      <c r="F91" s="106">
        <f>D91*E91</f>
        <v>2730</v>
      </c>
    </row>
    <row r="92" spans="1:6" s="1" customFormat="1">
      <c r="A92" s="98"/>
      <c r="B92" s="107"/>
      <c r="C92" s="104"/>
      <c r="D92" s="105"/>
      <c r="E92" s="104"/>
      <c r="F92" s="106"/>
    </row>
    <row r="93" spans="1:6" s="1" customFormat="1" ht="55.2">
      <c r="A93" s="98" t="s">
        <v>76</v>
      </c>
      <c r="B93" s="107" t="s">
        <v>77</v>
      </c>
      <c r="C93" s="104" t="s">
        <v>47</v>
      </c>
      <c r="D93" s="105">
        <v>1</v>
      </c>
      <c r="E93" s="104">
        <v>2500</v>
      </c>
      <c r="F93" s="106">
        <f>D93*E93</f>
        <v>2500</v>
      </c>
    </row>
    <row r="94" spans="1:6" s="1" customFormat="1">
      <c r="A94" s="98"/>
      <c r="B94" s="107"/>
      <c r="C94" s="104"/>
      <c r="D94" s="105"/>
      <c r="E94" s="104"/>
      <c r="F94" s="106"/>
    </row>
    <row r="95" spans="1:6" s="1" customFormat="1" ht="41.4">
      <c r="A95" s="98" t="s">
        <v>78</v>
      </c>
      <c r="B95" s="107" t="s">
        <v>79</v>
      </c>
      <c r="C95" s="104" t="s">
        <v>70</v>
      </c>
      <c r="D95" s="105">
        <v>15</v>
      </c>
      <c r="E95" s="104">
        <v>40</v>
      </c>
      <c r="F95" s="106">
        <f>D95*E95</f>
        <v>600</v>
      </c>
    </row>
    <row r="96" spans="1:6" s="1" customFormat="1">
      <c r="A96" s="98"/>
      <c r="B96" s="107"/>
      <c r="C96" s="104"/>
      <c r="D96" s="105"/>
      <c r="E96" s="104"/>
      <c r="F96" s="106"/>
    </row>
    <row r="97" spans="1:6" s="1" customFormat="1" ht="27.6">
      <c r="A97" s="98" t="s">
        <v>80</v>
      </c>
      <c r="B97" s="107" t="s">
        <v>81</v>
      </c>
      <c r="C97" s="104" t="s">
        <v>70</v>
      </c>
      <c r="D97" s="105">
        <v>40</v>
      </c>
      <c r="E97" s="104">
        <v>120</v>
      </c>
      <c r="F97" s="106">
        <f>D97*E97</f>
        <v>4800</v>
      </c>
    </row>
    <row r="98" spans="1:6" s="1" customFormat="1">
      <c r="A98" s="98"/>
      <c r="B98" s="107"/>
      <c r="C98" s="104"/>
      <c r="D98" s="105"/>
      <c r="E98" s="104"/>
      <c r="F98" s="106"/>
    </row>
    <row r="99" spans="1:6" s="1" customFormat="1">
      <c r="A99" s="98"/>
      <c r="B99" s="108" t="s">
        <v>82</v>
      </c>
      <c r="C99" s="104"/>
      <c r="D99" s="105"/>
      <c r="E99" s="104"/>
      <c r="F99" s="106"/>
    </row>
    <row r="100" spans="1:6" s="1" customFormat="1">
      <c r="A100" s="98"/>
      <c r="B100" s="107"/>
      <c r="C100" s="104"/>
      <c r="D100" s="105"/>
      <c r="E100" s="104"/>
      <c r="F100" s="106"/>
    </row>
    <row r="101" spans="1:6" s="1" customFormat="1" ht="27.6">
      <c r="A101" s="98" t="s">
        <v>83</v>
      </c>
      <c r="B101" s="107" t="s">
        <v>84</v>
      </c>
      <c r="C101" s="104" t="s">
        <v>70</v>
      </c>
      <c r="D101" s="105">
        <v>28</v>
      </c>
      <c r="E101" s="104">
        <v>250</v>
      </c>
      <c r="F101" s="106">
        <f>D101*E101</f>
        <v>7000</v>
      </c>
    </row>
    <row r="102" spans="1:6" s="1" customFormat="1">
      <c r="A102" s="98"/>
      <c r="B102" s="107"/>
      <c r="C102" s="104"/>
      <c r="D102" s="105"/>
      <c r="E102" s="104"/>
      <c r="F102" s="106"/>
    </row>
    <row r="103" spans="1:6" s="1" customFormat="1">
      <c r="A103" s="98"/>
      <c r="B103" s="108" t="s">
        <v>85</v>
      </c>
      <c r="C103" s="104"/>
      <c r="D103" s="105"/>
      <c r="E103" s="104"/>
      <c r="F103" s="106"/>
    </row>
    <row r="104" spans="1:6" s="1" customFormat="1">
      <c r="A104" s="98"/>
      <c r="B104" s="107"/>
      <c r="C104" s="104"/>
      <c r="D104" s="105"/>
      <c r="E104" s="104"/>
      <c r="F104" s="106"/>
    </row>
    <row r="105" spans="1:6" s="1" customFormat="1">
      <c r="A105" s="98"/>
      <c r="B105" s="108" t="s">
        <v>86</v>
      </c>
      <c r="C105" s="104"/>
      <c r="D105" s="105"/>
      <c r="E105" s="104"/>
      <c r="F105" s="106"/>
    </row>
    <row r="106" spans="1:6" s="1" customFormat="1">
      <c r="A106" s="98"/>
      <c r="B106" s="107"/>
      <c r="C106" s="104"/>
      <c r="D106" s="105"/>
      <c r="E106" s="104"/>
      <c r="F106" s="106"/>
    </row>
    <row r="107" spans="1:6" s="1" customFormat="1">
      <c r="A107" s="98" t="s">
        <v>87</v>
      </c>
      <c r="B107" s="107" t="s">
        <v>88</v>
      </c>
      <c r="C107" s="104" t="s">
        <v>70</v>
      </c>
      <c r="D107" s="105">
        <v>12</v>
      </c>
      <c r="E107" s="104">
        <v>1800</v>
      </c>
      <c r="F107" s="106">
        <f>D107*E107</f>
        <v>21600</v>
      </c>
    </row>
    <row r="108" spans="1:6" s="1" customFormat="1">
      <c r="A108" s="98"/>
      <c r="B108" s="107"/>
      <c r="C108" s="104"/>
      <c r="D108" s="105"/>
      <c r="E108" s="104"/>
      <c r="F108" s="106"/>
    </row>
    <row r="109" spans="1:6" s="1" customFormat="1" ht="27.6">
      <c r="A109" s="98"/>
      <c r="B109" s="108" t="s">
        <v>89</v>
      </c>
      <c r="C109" s="104"/>
      <c r="D109" s="105"/>
      <c r="E109" s="104"/>
      <c r="F109" s="106"/>
    </row>
    <row r="110" spans="1:6" s="1" customFormat="1">
      <c r="A110" s="98"/>
      <c r="B110" s="107"/>
      <c r="C110" s="104"/>
      <c r="D110" s="105"/>
      <c r="E110" s="104"/>
      <c r="F110" s="106"/>
    </row>
    <row r="111" spans="1:6" s="1" customFormat="1">
      <c r="A111" s="98" t="s">
        <v>90</v>
      </c>
      <c r="B111" s="107" t="s">
        <v>91</v>
      </c>
      <c r="C111" s="104" t="s">
        <v>70</v>
      </c>
      <c r="D111" s="105">
        <v>45</v>
      </c>
      <c r="E111" s="104">
        <v>4000</v>
      </c>
      <c r="F111" s="106">
        <f>D111*E111</f>
        <v>180000</v>
      </c>
    </row>
    <row r="112" spans="1:6" s="1" customFormat="1">
      <c r="A112" s="98"/>
      <c r="B112" s="107"/>
      <c r="C112" s="104"/>
      <c r="D112" s="105"/>
      <c r="E112" s="104"/>
      <c r="F112" s="106"/>
    </row>
    <row r="113" spans="1:6" s="1" customFormat="1">
      <c r="A113" s="98" t="s">
        <v>92</v>
      </c>
      <c r="B113" s="107" t="s">
        <v>93</v>
      </c>
      <c r="C113" s="104" t="s">
        <v>70</v>
      </c>
      <c r="D113" s="105">
        <v>35</v>
      </c>
      <c r="E113" s="104">
        <v>4000</v>
      </c>
      <c r="F113" s="106">
        <f>D113*E113</f>
        <v>140000</v>
      </c>
    </row>
    <row r="114" spans="1:6" s="1" customFormat="1">
      <c r="A114" s="98"/>
      <c r="B114" s="107"/>
      <c r="C114" s="104"/>
      <c r="D114" s="105"/>
      <c r="E114" s="104"/>
      <c r="F114" s="106"/>
    </row>
    <row r="115" spans="1:6" s="1" customFormat="1">
      <c r="A115" s="98"/>
      <c r="B115" s="108" t="s">
        <v>94</v>
      </c>
      <c r="C115" s="104"/>
      <c r="D115" s="105"/>
      <c r="E115" s="104"/>
      <c r="F115" s="106"/>
    </row>
    <row r="116" spans="1:6" s="1" customFormat="1">
      <c r="A116" s="98"/>
      <c r="B116" s="107"/>
      <c r="C116" s="104"/>
      <c r="D116" s="105"/>
      <c r="E116" s="104"/>
      <c r="F116" s="106"/>
    </row>
    <row r="117" spans="1:6" s="1" customFormat="1" ht="41.4">
      <c r="A117" s="98"/>
      <c r="B117" s="108" t="s">
        <v>95</v>
      </c>
      <c r="C117" s="104"/>
      <c r="D117" s="105"/>
      <c r="E117" s="104"/>
      <c r="F117" s="106"/>
    </row>
    <row r="118" spans="1:6" s="1" customFormat="1">
      <c r="A118" s="98"/>
      <c r="B118" s="107"/>
      <c r="C118" s="104"/>
      <c r="D118" s="105"/>
      <c r="E118" s="104"/>
      <c r="F118" s="106"/>
    </row>
    <row r="119" spans="1:6" s="1" customFormat="1">
      <c r="A119" s="98" t="s">
        <v>96</v>
      </c>
      <c r="B119" s="107" t="s">
        <v>97</v>
      </c>
      <c r="C119" s="104" t="s">
        <v>98</v>
      </c>
      <c r="D119" s="105">
        <v>3415</v>
      </c>
      <c r="E119" s="104">
        <v>45</v>
      </c>
      <c r="F119" s="106">
        <f>D119*E119</f>
        <v>153675</v>
      </c>
    </row>
    <row r="120" spans="1:6" s="1" customFormat="1">
      <c r="A120" s="98"/>
      <c r="B120" s="107"/>
      <c r="C120" s="104"/>
      <c r="D120" s="105"/>
      <c r="E120" s="104"/>
      <c r="F120" s="106"/>
    </row>
    <row r="121" spans="1:6" s="1" customFormat="1">
      <c r="A121" s="98"/>
      <c r="B121" s="108" t="s">
        <v>99</v>
      </c>
      <c r="C121" s="104"/>
      <c r="D121" s="105"/>
      <c r="E121" s="104"/>
      <c r="F121" s="106"/>
    </row>
    <row r="122" spans="1:6" s="1" customFormat="1">
      <c r="A122" s="98"/>
      <c r="B122" s="107"/>
      <c r="C122" s="104"/>
      <c r="D122" s="105"/>
      <c r="E122" s="104"/>
      <c r="F122" s="106"/>
    </row>
    <row r="123" spans="1:6" s="1" customFormat="1">
      <c r="A123" s="98"/>
      <c r="B123" s="108" t="s">
        <v>100</v>
      </c>
      <c r="C123" s="104"/>
      <c r="D123" s="105"/>
      <c r="E123" s="104"/>
      <c r="F123" s="106"/>
    </row>
    <row r="124" spans="1:6" s="1" customFormat="1">
      <c r="A124" s="98"/>
      <c r="B124" s="107"/>
      <c r="C124" s="104"/>
      <c r="D124" s="105"/>
      <c r="E124" s="104"/>
      <c r="F124" s="106"/>
    </row>
    <row r="125" spans="1:6" s="1" customFormat="1">
      <c r="A125" s="98" t="s">
        <v>101</v>
      </c>
      <c r="B125" s="107" t="s">
        <v>102</v>
      </c>
      <c r="C125" s="104" t="s">
        <v>68</v>
      </c>
      <c r="D125" s="105">
        <v>395</v>
      </c>
      <c r="E125" s="104">
        <v>150</v>
      </c>
      <c r="F125" s="106">
        <f>D125*E125</f>
        <v>59250</v>
      </c>
    </row>
    <row r="126" spans="1:6" s="1" customFormat="1">
      <c r="A126" s="98"/>
      <c r="B126" s="107"/>
      <c r="C126" s="104"/>
      <c r="D126" s="105"/>
      <c r="E126" s="104"/>
      <c r="F126" s="106"/>
    </row>
    <row r="127" spans="1:6" s="1" customFormat="1">
      <c r="A127" s="98"/>
      <c r="B127" s="108" t="s">
        <v>103</v>
      </c>
      <c r="C127" s="104"/>
      <c r="D127" s="105"/>
      <c r="E127" s="104"/>
      <c r="F127" s="106"/>
    </row>
    <row r="128" spans="1:6" s="1" customFormat="1">
      <c r="A128" s="98"/>
      <c r="B128" s="107"/>
      <c r="C128" s="104"/>
      <c r="D128" s="105"/>
      <c r="E128" s="104"/>
      <c r="F128" s="106"/>
    </row>
    <row r="129" spans="1:6" s="1" customFormat="1" ht="27.6">
      <c r="A129" s="98" t="s">
        <v>104</v>
      </c>
      <c r="B129" s="107" t="s">
        <v>105</v>
      </c>
      <c r="C129" s="109" t="s">
        <v>106</v>
      </c>
      <c r="D129" s="105">
        <v>104</v>
      </c>
      <c r="E129" s="104">
        <v>150</v>
      </c>
      <c r="F129" s="106">
        <f>E129*D129</f>
        <v>15600</v>
      </c>
    </row>
    <row r="130" spans="1:6" s="1" customFormat="1">
      <c r="A130" s="98"/>
      <c r="B130" s="107"/>
      <c r="C130" s="104"/>
      <c r="D130" s="105"/>
      <c r="E130" s="104"/>
      <c r="F130" s="106"/>
    </row>
    <row r="131" spans="1:6" s="1" customFormat="1">
      <c r="A131" s="98"/>
      <c r="B131" s="107"/>
      <c r="C131" s="104"/>
      <c r="D131" s="105"/>
      <c r="E131" s="104"/>
      <c r="F131" s="106"/>
    </row>
    <row r="132" spans="1:6" s="1" customFormat="1">
      <c r="A132" s="98"/>
      <c r="B132" s="103" t="s">
        <v>107</v>
      </c>
      <c r="C132" s="104"/>
      <c r="D132" s="105"/>
      <c r="E132" s="104"/>
      <c r="F132" s="106"/>
    </row>
    <row r="133" spans="1:6" s="1" customFormat="1">
      <c r="A133" s="98"/>
      <c r="B133" s="107"/>
      <c r="C133" s="104"/>
      <c r="D133" s="105"/>
      <c r="E133" s="104"/>
      <c r="F133" s="106"/>
    </row>
    <row r="134" spans="1:6" s="1" customFormat="1" ht="55.2">
      <c r="A134" s="98" t="s">
        <v>108</v>
      </c>
      <c r="B134" s="107" t="s">
        <v>109</v>
      </c>
      <c r="C134" s="104" t="s">
        <v>106</v>
      </c>
      <c r="D134" s="105">
        <v>52</v>
      </c>
      <c r="E134" s="104">
        <v>350</v>
      </c>
      <c r="F134" s="106">
        <f>D134*E134</f>
        <v>18200</v>
      </c>
    </row>
    <row r="135" spans="1:6" s="1" customFormat="1">
      <c r="A135" s="98"/>
      <c r="B135" s="107"/>
      <c r="C135" s="104"/>
      <c r="D135" s="105"/>
      <c r="E135" s="104"/>
      <c r="F135" s="106"/>
    </row>
    <row r="136" spans="1:6" s="1" customFormat="1">
      <c r="A136" s="98"/>
      <c r="B136" s="103" t="s">
        <v>110</v>
      </c>
      <c r="C136" s="110"/>
      <c r="D136" s="96"/>
      <c r="E136" s="99"/>
      <c r="F136" s="100"/>
    </row>
    <row r="137" spans="1:6" s="1" customFormat="1">
      <c r="A137" s="98"/>
      <c r="B137" s="107"/>
      <c r="C137" s="110"/>
      <c r="D137" s="96"/>
      <c r="E137" s="99"/>
      <c r="F137" s="100"/>
    </row>
    <row r="138" spans="1:6" s="1" customFormat="1" ht="41.4">
      <c r="A138" s="98" t="s">
        <v>111</v>
      </c>
      <c r="B138" s="107" t="s">
        <v>112</v>
      </c>
      <c r="C138" s="109" t="s">
        <v>106</v>
      </c>
      <c r="D138" s="105">
        <v>104</v>
      </c>
      <c r="E138" s="104">
        <v>250</v>
      </c>
      <c r="F138" s="106">
        <f>E138*D138</f>
        <v>26000</v>
      </c>
    </row>
    <row r="139" spans="1:6" s="1" customFormat="1">
      <c r="A139" s="98"/>
      <c r="B139" s="107"/>
      <c r="C139" s="104"/>
      <c r="D139" s="105"/>
      <c r="E139" s="104"/>
      <c r="F139" s="106"/>
    </row>
    <row r="140" spans="1:6" s="1" customFormat="1">
      <c r="A140" s="98"/>
      <c r="B140" s="108" t="s">
        <v>113</v>
      </c>
      <c r="C140" s="104"/>
      <c r="D140" s="105"/>
      <c r="E140" s="104"/>
      <c r="F140" s="106"/>
    </row>
    <row r="141" spans="1:6" s="1" customFormat="1">
      <c r="A141" s="98"/>
      <c r="B141" s="107"/>
      <c r="C141" s="104"/>
      <c r="D141" s="105"/>
      <c r="E141" s="104"/>
      <c r="F141" s="106"/>
    </row>
    <row r="142" spans="1:6" s="1" customFormat="1">
      <c r="A142" s="98" t="s">
        <v>114</v>
      </c>
      <c r="B142" s="107" t="s">
        <v>115</v>
      </c>
      <c r="C142" s="104" t="s">
        <v>70</v>
      </c>
      <c r="D142" s="105">
        <v>1</v>
      </c>
      <c r="E142" s="104">
        <v>4800</v>
      </c>
      <c r="F142" s="106">
        <f>D142*E142</f>
        <v>4800</v>
      </c>
    </row>
    <row r="143" spans="1:6" s="1" customFormat="1">
      <c r="A143" s="98"/>
      <c r="B143" s="107"/>
      <c r="C143" s="104"/>
      <c r="D143" s="105"/>
      <c r="E143" s="104"/>
      <c r="F143" s="106"/>
    </row>
    <row r="144" spans="1:6" s="1" customFormat="1" ht="27.6">
      <c r="A144" s="111"/>
      <c r="B144" s="18" t="s">
        <v>116</v>
      </c>
      <c r="C144" s="72"/>
      <c r="D144" s="19"/>
      <c r="E144" s="72" t="s">
        <v>52</v>
      </c>
      <c r="F144" s="112">
        <f>SUM(F83:F142)</f>
        <v>683620</v>
      </c>
    </row>
    <row r="145" spans="1:6" s="1" customFormat="1">
      <c r="A145" s="39"/>
      <c r="B145" s="40"/>
      <c r="C145" s="41"/>
      <c r="D145" s="61"/>
      <c r="E145" s="61"/>
      <c r="F145" s="42"/>
    </row>
    <row r="146" spans="1:6" s="1" customFormat="1">
      <c r="A146" s="62"/>
      <c r="B146" s="136" t="s">
        <v>117</v>
      </c>
      <c r="C146" s="136"/>
      <c r="D146" s="136"/>
      <c r="E146" s="136"/>
      <c r="F146" s="44"/>
    </row>
    <row r="147" spans="1:6" s="1" customFormat="1">
      <c r="A147" s="43"/>
      <c r="B147" s="136" t="s">
        <v>118</v>
      </c>
      <c r="C147" s="136"/>
      <c r="D147" s="136"/>
      <c r="E147" s="136"/>
      <c r="F147" s="44"/>
    </row>
    <row r="148" spans="1:6" s="1" customFormat="1">
      <c r="A148" s="63"/>
      <c r="B148" s="64"/>
      <c r="C148" s="65"/>
      <c r="D148" s="66"/>
      <c r="E148" s="67"/>
      <c r="F148" s="68"/>
    </row>
    <row r="149" spans="1:6" s="1" customFormat="1">
      <c r="A149" s="69" t="s">
        <v>6</v>
      </c>
      <c r="B149" s="70" t="s">
        <v>7</v>
      </c>
      <c r="C149" s="71" t="s">
        <v>8</v>
      </c>
      <c r="D149" s="72" t="s">
        <v>9</v>
      </c>
      <c r="E149" s="73" t="s">
        <v>10</v>
      </c>
      <c r="F149" s="74" t="s">
        <v>11</v>
      </c>
    </row>
    <row r="150" spans="1:6" s="1" customFormat="1">
      <c r="A150" s="75"/>
      <c r="B150" s="76"/>
      <c r="C150" s="77"/>
      <c r="D150" s="78"/>
      <c r="E150" s="79"/>
      <c r="F150" s="80"/>
    </row>
    <row r="151" spans="1:6" s="1" customFormat="1">
      <c r="A151" s="81"/>
      <c r="B151" s="82" t="s">
        <v>118</v>
      </c>
      <c r="C151" s="78"/>
      <c r="D151" s="78"/>
      <c r="E151" s="80"/>
      <c r="F151" s="80"/>
    </row>
    <row r="152" spans="1:6" s="1" customFormat="1">
      <c r="A152" s="81"/>
      <c r="B152" s="76"/>
      <c r="C152" s="78"/>
      <c r="D152" s="78"/>
      <c r="E152" s="80"/>
      <c r="F152" s="80"/>
    </row>
    <row r="153" spans="1:6" s="1" customFormat="1">
      <c r="A153" s="78" t="s">
        <v>45</v>
      </c>
      <c r="B153" s="83" t="s">
        <v>119</v>
      </c>
      <c r="C153" s="78" t="s">
        <v>47</v>
      </c>
      <c r="D153" s="78">
        <v>1</v>
      </c>
      <c r="E153" s="84">
        <v>10000</v>
      </c>
      <c r="F153" s="53">
        <f>D153*E153</f>
        <v>10000</v>
      </c>
    </row>
    <row r="154" spans="1:6" s="1" customFormat="1">
      <c r="A154" s="85"/>
      <c r="B154" s="86"/>
      <c r="C154" s="87"/>
      <c r="D154" s="88"/>
      <c r="E154" s="88"/>
      <c r="F154" s="89"/>
    </row>
    <row r="155" spans="1:6" s="1" customFormat="1">
      <c r="A155" s="85"/>
      <c r="B155" s="90" t="s">
        <v>60</v>
      </c>
      <c r="C155" s="91"/>
      <c r="D155" s="92"/>
      <c r="E155" s="92" t="s">
        <v>52</v>
      </c>
      <c r="F155" s="93">
        <f>SUM(F153:F153)</f>
        <v>10000</v>
      </c>
    </row>
    <row r="156" spans="1:6">
      <c r="A156" s="137"/>
      <c r="B156" s="138"/>
      <c r="C156" s="138"/>
      <c r="D156" s="138"/>
      <c r="E156" s="138"/>
      <c r="F156" s="139"/>
    </row>
    <row r="157" spans="1:6" ht="15.6">
      <c r="A157" s="43"/>
      <c r="B157" s="140" t="s">
        <v>120</v>
      </c>
      <c r="C157" s="140"/>
      <c r="D157" s="140"/>
      <c r="E157" s="140"/>
      <c r="F157" s="109"/>
    </row>
    <row r="158" spans="1:6" ht="15.6">
      <c r="A158" s="43"/>
      <c r="B158" s="113"/>
      <c r="C158" s="113"/>
      <c r="D158" s="113"/>
      <c r="E158" s="113"/>
      <c r="F158" s="109"/>
    </row>
    <row r="159" spans="1:6" ht="15.6">
      <c r="A159" s="43"/>
      <c r="B159" s="140" t="s">
        <v>2</v>
      </c>
      <c r="C159" s="140"/>
      <c r="D159" s="140"/>
      <c r="E159" s="140"/>
      <c r="F159" s="109"/>
    </row>
    <row r="160" spans="1:6" ht="15.6">
      <c r="A160" s="43"/>
      <c r="B160" s="140" t="s">
        <v>121</v>
      </c>
      <c r="C160" s="140"/>
      <c r="D160" s="140"/>
      <c r="E160" s="140"/>
      <c r="F160" s="109"/>
    </row>
    <row r="161" spans="1:6">
      <c r="A161" s="63"/>
      <c r="B161" s="64"/>
      <c r="C161" s="65"/>
      <c r="D161" s="66"/>
      <c r="E161" s="67"/>
      <c r="F161" s="68"/>
    </row>
    <row r="162" spans="1:6">
      <c r="A162" s="45"/>
      <c r="B162" s="114"/>
      <c r="C162" s="115"/>
      <c r="D162" s="116"/>
      <c r="E162" s="116"/>
      <c r="F162" s="116"/>
    </row>
    <row r="163" spans="1:6">
      <c r="A163" s="101">
        <v>1</v>
      </c>
      <c r="B163" s="102" t="s">
        <v>122</v>
      </c>
      <c r="C163" s="98"/>
      <c r="D163" s="104"/>
      <c r="E163" s="104" t="s">
        <v>52</v>
      </c>
      <c r="F163" s="104">
        <f>F53</f>
        <v>72362</v>
      </c>
    </row>
    <row r="164" spans="1:6">
      <c r="A164" s="117"/>
      <c r="B164" s="118"/>
      <c r="C164" s="119"/>
      <c r="D164" s="104"/>
      <c r="E164" s="104"/>
      <c r="F164" s="104"/>
    </row>
    <row r="165" spans="1:6">
      <c r="A165" s="117">
        <v>2</v>
      </c>
      <c r="B165" s="120" t="s">
        <v>123</v>
      </c>
      <c r="C165" s="119"/>
      <c r="D165" s="104"/>
      <c r="E165" s="104" t="s">
        <v>52</v>
      </c>
      <c r="F165" s="104">
        <f>F68</f>
        <v>30000</v>
      </c>
    </row>
    <row r="166" spans="1:6">
      <c r="A166" s="117"/>
      <c r="B166" s="120"/>
      <c r="C166" s="119"/>
      <c r="D166" s="104"/>
      <c r="E166" s="104"/>
      <c r="F166" s="104"/>
    </row>
    <row r="167" spans="1:6">
      <c r="A167" s="101">
        <v>3</v>
      </c>
      <c r="B167" s="120" t="s">
        <v>124</v>
      </c>
      <c r="C167" s="98"/>
      <c r="D167" s="104"/>
      <c r="E167" s="104" t="s">
        <v>52</v>
      </c>
      <c r="F167" s="104">
        <f>F144</f>
        <v>683620</v>
      </c>
    </row>
    <row r="168" spans="1:6">
      <c r="A168" s="101"/>
      <c r="B168" s="120"/>
      <c r="C168" s="98"/>
      <c r="D168" s="104"/>
      <c r="E168" s="104"/>
      <c r="F168" s="104"/>
    </row>
    <row r="169" spans="1:6">
      <c r="A169" s="101">
        <v>4</v>
      </c>
      <c r="B169" s="120" t="s">
        <v>125</v>
      </c>
      <c r="C169" s="98"/>
      <c r="D169" s="104"/>
      <c r="E169" s="104" t="s">
        <v>52</v>
      </c>
      <c r="F169" s="104">
        <f>F155</f>
        <v>10000</v>
      </c>
    </row>
    <row r="170" spans="1:6">
      <c r="A170" s="98"/>
      <c r="B170" s="121"/>
      <c r="C170" s="98"/>
      <c r="D170" s="122"/>
      <c r="E170" s="123"/>
      <c r="F170" s="123"/>
    </row>
    <row r="171" spans="1:6">
      <c r="A171" s="45"/>
      <c r="B171" s="124" t="s">
        <v>126</v>
      </c>
      <c r="C171" s="125"/>
      <c r="D171" s="126"/>
      <c r="E171" s="127" t="s">
        <v>52</v>
      </c>
      <c r="F171" s="127">
        <f>SUM(F163:F167)</f>
        <v>785982</v>
      </c>
    </row>
    <row r="172" spans="1:6">
      <c r="A172" s="85"/>
      <c r="B172" s="128"/>
      <c r="C172" s="129"/>
      <c r="D172" s="130"/>
      <c r="E172" s="131"/>
      <c r="F172" s="131"/>
    </row>
  </sheetData>
  <mergeCells count="18">
    <mergeCell ref="B157:E157"/>
    <mergeCell ref="B159:E159"/>
    <mergeCell ref="B160:E160"/>
    <mergeCell ref="B70:E70"/>
    <mergeCell ref="B71:E71"/>
    <mergeCell ref="B146:E146"/>
    <mergeCell ref="B147:E147"/>
    <mergeCell ref="A156:F156"/>
    <mergeCell ref="B7:E7"/>
    <mergeCell ref="B43:E43"/>
    <mergeCell ref="B44:E44"/>
    <mergeCell ref="B55:E55"/>
    <mergeCell ref="B56:E56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scale="50" orientation="portrait" r:id="rId1"/>
  <rowBreaks count="2" manualBreakCount="2">
    <brk id="53" max="5" man="1"/>
    <brk id="14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BOQ DRIP PUMP STATION</vt:lpstr>
      <vt:lpstr>'BOQ DRIP PUMP STATION'!Print_Area</vt:lpstr>
    </vt:vector>
  </TitlesOfParts>
  <Company>Illovo Sugar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Santi Obe - Nakambala</dc:creator>
  <cp:lastModifiedBy>Innocent Mposha</cp:lastModifiedBy>
  <cp:lastPrinted>2025-07-18T07:10:00Z</cp:lastPrinted>
  <dcterms:created xsi:type="dcterms:W3CDTF">2024-08-25T11:36:00Z</dcterms:created>
  <dcterms:modified xsi:type="dcterms:W3CDTF">2025-12-29T09:35:30Z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141F68D516AC460DA579840FCF941FFD_13</vt:lpwstr>
  </property>
  <property fmtid="{D5CDD505-2E9C-101B-9397-08002B2CF9AE}" pid="3" name="KSOProductBuildVer">
    <vt:lpwstr>2057-12.2.0.20796</vt:lpwstr>
  </property>
</Properties>
</file>