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19"/>
  <workbookPr defaultThemeVersion="166925"/>
  <mc:AlternateContent xmlns:mc="http://schemas.openxmlformats.org/markup-compatibility/2006">
    <mc:Choice Requires="x15">
      <x15ac:absPath xmlns:x15ac="http://schemas.microsoft.com/office/spreadsheetml/2010/11/ac" url="C:\Users\DEMAS\Desktop\"/>
    </mc:Choice>
  </mc:AlternateContent>
  <xr:revisionPtr revIDLastSave="0" documentId="13_ncr:1_{99C4294D-5CA0-42D0-842D-0642BD029B16}" xr6:coauthVersionLast="47" xr6:coauthVersionMax="47" xr10:uidLastSave="{00000000-0000-0000-0000-000000000000}"/>
  <bookViews>
    <workbookView xWindow="-120" yWindow="-120" windowWidth="20730" windowHeight="11160" xr2:uid="{8A23C8D3-0E46-4FA3-B1D0-0ABFFCE32CCD}"/>
  </bookViews>
  <sheets>
    <sheet name="BOQ Walkway &amp; Drainag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4" i="1" l="1"/>
  <c r="F112" i="1"/>
  <c r="F108" i="1"/>
  <c r="F106" i="1"/>
  <c r="F104" i="1"/>
  <c r="F102" i="1"/>
  <c r="F100" i="1"/>
  <c r="F98" i="1"/>
  <c r="F96" i="1"/>
  <c r="F94" i="1"/>
  <c r="F86" i="1"/>
  <c r="F84" i="1"/>
  <c r="F72" i="1"/>
  <c r="F70" i="1"/>
  <c r="F66" i="1"/>
  <c r="F62" i="1"/>
  <c r="F117" i="1" l="1"/>
  <c r="F82" i="1" l="1"/>
  <c r="F78" i="1"/>
  <c r="F76" i="1"/>
  <c r="F74" i="1"/>
  <c r="F50" i="1"/>
  <c r="F48" i="1"/>
  <c r="F60" i="1"/>
  <c r="F88" i="1" l="1"/>
  <c r="F137" i="1"/>
  <c r="F52" i="1"/>
  <c r="F133" i="1" s="1"/>
  <c r="F124" i="1"/>
  <c r="F135" i="1" l="1"/>
  <c r="F126" i="1"/>
  <c r="F139" i="1" l="1"/>
  <c r="F141" i="1" s="1"/>
</calcChain>
</file>

<file path=xl/sharedStrings.xml><?xml version="1.0" encoding="utf-8"?>
<sst xmlns="http://schemas.openxmlformats.org/spreadsheetml/2006/main" count="152" uniqueCount="97">
  <si>
    <t>ITEM NO</t>
  </si>
  <si>
    <t>DESCRIPTION</t>
  </si>
  <si>
    <t>UNIT</t>
  </si>
  <si>
    <t>QTY</t>
  </si>
  <si>
    <t>RATE</t>
  </si>
  <si>
    <t>AMOUNT</t>
  </si>
  <si>
    <t xml:space="preserve">General Preambles </t>
  </si>
  <si>
    <t>The following specifications must be taken into consideration in cases were they may not be indicated:</t>
  </si>
  <si>
    <t>i</t>
  </si>
  <si>
    <t>A contractor shall farmilirise himself with the works as no claims, due to fairlure to understand the scope of works shall be accepted</t>
  </si>
  <si>
    <t>ii</t>
  </si>
  <si>
    <t>Contractor shall allow in his rates the price of materials, transportation, plant, equipment, personel and any other services required during execution of works</t>
  </si>
  <si>
    <t>iii</t>
  </si>
  <si>
    <t xml:space="preserve">All rates must include the supply and installation of new items/materials </t>
  </si>
  <si>
    <t>iv</t>
  </si>
  <si>
    <t xml:space="preserve">Where there is a discrepancy between the drawings and BOQ, consult the Engineer or other authorised client's site representative </t>
  </si>
  <si>
    <t>v</t>
  </si>
  <si>
    <t>vi</t>
  </si>
  <si>
    <t>vii</t>
  </si>
  <si>
    <t xml:space="preserve">Contractor shall provide signs and safety barrier tapes to be erected at site and to ensure good houskeeping at all times </t>
  </si>
  <si>
    <t>viii</t>
  </si>
  <si>
    <t>ix</t>
  </si>
  <si>
    <t xml:space="preserve">The contractor will be held responsible for any loss or damage of existing works </t>
  </si>
  <si>
    <t>x</t>
  </si>
  <si>
    <t xml:space="preserve">During the execution of works, site security will be the responsibility of the contractor </t>
  </si>
  <si>
    <t>xi</t>
  </si>
  <si>
    <t>xii</t>
  </si>
  <si>
    <t xml:space="preserve">The contractor is to make good disturbed works by all trades before handover </t>
  </si>
  <si>
    <t>xiii</t>
  </si>
  <si>
    <t>Unless indicated , a Contractor shall supply all materials, labour and equipment</t>
  </si>
  <si>
    <t>xiv</t>
  </si>
  <si>
    <t>The Contractor is to carfully read and understand the scope/BOQ as any cost that will arise from failure to understand the scope will fall on the contractor</t>
  </si>
  <si>
    <t xml:space="preserve">PRELIMINARY AND GENERAL ITEMS </t>
  </si>
  <si>
    <t>Item</t>
  </si>
  <si>
    <t>ZMW</t>
  </si>
  <si>
    <t>m</t>
  </si>
  <si>
    <t>FOR</t>
  </si>
  <si>
    <t>BILL OF QUANTITIES</t>
  </si>
  <si>
    <t xml:space="preserve">The net quantities in the BOQ shall not be used for the purpose of ordering materials. All measurments must be confirmed prior to procurement of materials </t>
  </si>
  <si>
    <t>Samples of materials to be availed to the Engineer for approval prior to procurment; stones, reinforcements, etc.</t>
  </si>
  <si>
    <t xml:space="preserve">The contractor shall provide all required PPE i.e helments, gloves, safety boots, eye goggles,dust musk, work suit, etc. for his workmanship </t>
  </si>
  <si>
    <t xml:space="preserve">Before handover, the contractor must clean up and dump the waste/debris to chuula dump site; provisionally 9 km away </t>
  </si>
  <si>
    <t>m²</t>
  </si>
  <si>
    <t>m³</t>
  </si>
  <si>
    <t>LS</t>
  </si>
  <si>
    <t>Allow for demobilization, including but not limited to removing and shipping construction plant and equipment, returning staff, removing temporary works, and cleaning the site as specified by site Engineer.</t>
  </si>
  <si>
    <t xml:space="preserve">Allow for mobilization, including but not limited to preparation, transportation and erecting constructional plant, equipment, offices, field laboratory on site, and preparatory works in commencing the execution of the works. </t>
  </si>
  <si>
    <t>TOTAL CARRIED TO SUMMARY OF BILL OF QUANTITIES</t>
  </si>
  <si>
    <t>BILL No. 1</t>
  </si>
  <si>
    <t>BILL No. 2</t>
  </si>
  <si>
    <t>1.1</t>
  </si>
  <si>
    <t>1.2</t>
  </si>
  <si>
    <t>3.1</t>
  </si>
  <si>
    <t>TOTAL (VAT EXCLUSIVE)</t>
  </si>
  <si>
    <t>BILL SUMMARY</t>
  </si>
  <si>
    <t xml:space="preserve">BILL NO 3. </t>
  </si>
  <si>
    <t>4.1</t>
  </si>
  <si>
    <t>BILL NO. 4</t>
  </si>
  <si>
    <t>Excavation Works and Earthworks</t>
  </si>
  <si>
    <t>BILL No. 1  PRELIMINARY AND GENERAL ITEMS</t>
  </si>
  <si>
    <t>AT</t>
  </si>
  <si>
    <t>Site Preparation</t>
  </si>
  <si>
    <t>Common excavation of normal soils for edge beam and kerbstone size 400 x 300 x 250mm depth including backfilling and disposal of material as specified.</t>
  </si>
  <si>
    <t>Concrete Works</t>
  </si>
  <si>
    <t>Cast C25 concrete edge beam both sides in 300 x 200mm beam</t>
  </si>
  <si>
    <t>Supply and lay polythene sheet</t>
  </si>
  <si>
    <t xml:space="preserve"> "Conforce" mesh type 257 (2.57 kg/m²) or other equal and approved steel fabric reinforcement lapped minimum 150mm at sides and ends including all necessary bends, hooks, tying wire and distance blocks embedded in drain walls, bottom and top (measured net - no allowance made for laps)</t>
  </si>
  <si>
    <t>Allow for wheeling, spreading, watering and compacting gravel (Gravel to be provided by Zambia Sugar)</t>
  </si>
  <si>
    <t>Kerbstones and bollards</t>
  </si>
  <si>
    <t>No.</t>
  </si>
  <si>
    <t>Supply and lay precast concrete 900 x 250 x 100mm ex. kerbs laying on conc. bases(ms) along the edges of the pavers in cem/sand 1:5mix mortar as directed by Engineer.</t>
  </si>
  <si>
    <t>Cut to reduce levels, levelling  and compacting the ground well along walkways 3200mm wide ready to receive gravel (ms)</t>
  </si>
  <si>
    <t>Yellow and black painting of kerbstone</t>
  </si>
  <si>
    <t>General site leveling and cleaning for handover</t>
  </si>
  <si>
    <t>GENERAL WORKS</t>
  </si>
  <si>
    <t>Excavate in "pickable material" and shaping to the required size for trapezaidal open drain starting at existing formation level not exceeding 1.50m deep and get out, load and dispose on site where directed</t>
  </si>
  <si>
    <t>Rip, scarify and compact top 150mm layer of in-situ material beneath SW channel to 93% MOD AASHTO to within ±2% of OMC</t>
  </si>
  <si>
    <t>Import G8 material and compact in 150mm layers to 93% MOD AASHTO to within ±2% of OMC Concrete works</t>
  </si>
  <si>
    <t>Cast in situ concrete lining class 25/19 for open drain with Class U2 finish, including formwork where required with Class F2 finish to trapezoidal drain</t>
  </si>
  <si>
    <t>Polyethylene sheeting (0,15 mm thick) for concrete-lined open drains</t>
  </si>
  <si>
    <t xml:space="preserve"> m²</t>
  </si>
  <si>
    <t>Cutting bituminous and pavement layers for concrete channelling or concrete lined drains</t>
  </si>
  <si>
    <t>Sealed joints in concrete linings of open drains with Polysulphide sealants</t>
  </si>
  <si>
    <t>Culverts</t>
  </si>
  <si>
    <t>Allow for construction of head walls in 200mm thick concrete C25</t>
  </si>
  <si>
    <t>DRAINAGE</t>
  </si>
  <si>
    <t>Allow for supply and installation of 1200mm boxed culvert on truck crossing, laying and jointing in culvert including concrete bases</t>
  </si>
  <si>
    <t>BILL No. 2  WALKWAY</t>
  </si>
  <si>
    <t xml:space="preserve">BILL No. 3  OPEN DRAINAGE </t>
  </si>
  <si>
    <t>PEOPLE VEHICLE SEPARATION (PH 4 OF 6)</t>
  </si>
  <si>
    <t>MARSHALING AND TOTAL FILLING STATION</t>
  </si>
  <si>
    <t>LOT 1</t>
  </si>
  <si>
    <t>BILL No. 4  GENERAL WORKS</t>
  </si>
  <si>
    <t xml:space="preserve">Allow for installation of 150mm diameter x 3.5mm round hollow section bollards approximatelly 1000mm long with one end cast into base spaced at 4m </t>
  </si>
  <si>
    <t>Cast reinforced in-situ concrete Paving ( Class 25/19) 80mm thick in walkway and shoulder</t>
  </si>
  <si>
    <t>WALKWAY</t>
  </si>
  <si>
    <t>Cast C25 concrete in bollards poles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</si>
</sst>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0.0"/>
    <numFmt numFmtId="166" formatCode="_ * #,##0.00_ ;_ * \-#,##0.00_ ;_ * &quot;-&quot;??_ ;_ @_ "/>
  </numFmts>
  <fonts count="10" x14ac:knownFonts="1">
    <font>
      <sz val="11"/>
      <color theme="1"/>
      <name val="Calibri"/>
      <family val="2"/>
      <scheme val="minor"/>
    </font>
    <font>
      <sz val="11"/>
      <color theme="1"/>
      <name val="Calibri"/>
      <family val="2"/>
      <scheme val="minor"/>
    </font>
    <font>
      <b/>
      <sz val="12"/>
      <color theme="1"/>
      <name val="Century Gothic"/>
      <family val="2"/>
    </font>
    <font>
      <b/>
      <sz val="11"/>
      <name val="Century Gothic"/>
      <family val="2"/>
    </font>
    <font>
      <sz val="10"/>
      <name val="Arial"/>
      <family val="2"/>
    </font>
    <font>
      <sz val="11"/>
      <name val="Century Gothic"/>
      <family val="2"/>
    </font>
    <font>
      <b/>
      <u/>
      <sz val="11"/>
      <name val="Century Gothic"/>
      <family val="2"/>
    </font>
    <font>
      <b/>
      <i/>
      <u/>
      <sz val="11"/>
      <name val="Century Gothic"/>
      <family val="2"/>
    </font>
    <font>
      <i/>
      <sz val="11"/>
      <name val="Century Gothic"/>
      <family val="2"/>
    </font>
    <font>
      <i/>
      <u/>
      <sz val="11"/>
      <name val="Century Gothic"/>
      <family val="2"/>
    </font>
  </fonts>
  <fills count="2">
    <fill>
      <patternFill patternType="none"/>
    </fill>
    <fill>
      <patternFill patternType="gray125"/>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6" fontId="1" fillId="0" borderId="0" applyFont="0" applyFill="0" applyBorder="0" applyAlignment="0" applyProtection="0"/>
  </cellStyleXfs>
  <cellXfs count="96">
    <xf numFmtId="0" fontId="0" fillId="0" borderId="0" xfId="0"/>
    <xf numFmtId="0" fontId="0" fillId="0" borderId="1" xfId="0" applyBorder="1"/>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3" fillId="0" borderId="9" xfId="0" applyFont="1" applyBorder="1" applyAlignment="1">
      <alignment horizontal="center" vertical="center" wrapText="1"/>
    </xf>
    <xf numFmtId="0" fontId="3" fillId="0" borderId="9" xfId="0" applyFont="1" applyBorder="1" applyAlignment="1">
      <alignment vertical="center" wrapText="1"/>
    </xf>
    <xf numFmtId="43" fontId="3" fillId="0" borderId="10" xfId="1" applyFont="1" applyFill="1" applyBorder="1" applyAlignment="1">
      <alignment horizontal="center" vertical="center"/>
    </xf>
    <xf numFmtId="43" fontId="3" fillId="0" borderId="9" xfId="1" applyFont="1" applyFill="1" applyBorder="1" applyAlignment="1">
      <alignment horizontal="center" vertical="center" wrapText="1"/>
    </xf>
    <xf numFmtId="43" fontId="3" fillId="0" borderId="10" xfId="1" applyFont="1" applyFill="1" applyBorder="1" applyAlignment="1">
      <alignment horizontal="right" vertical="center"/>
    </xf>
    <xf numFmtId="43" fontId="3" fillId="0" borderId="9" xfId="1" applyFont="1" applyFill="1" applyBorder="1" applyAlignment="1">
      <alignment horizontal="right" vertical="center"/>
    </xf>
    <xf numFmtId="0" fontId="3" fillId="0" borderId="11" xfId="2" applyFont="1" applyBorder="1" applyAlignment="1">
      <alignment horizontal="center" vertical="center"/>
    </xf>
    <xf numFmtId="0" fontId="3" fillId="0" borderId="11" xfId="2" applyFont="1" applyBorder="1" applyAlignment="1">
      <alignment horizontal="left"/>
    </xf>
    <xf numFmtId="2" fontId="5" fillId="0" borderId="0" xfId="2" applyNumberFormat="1" applyFont="1" applyAlignment="1">
      <alignment horizontal="center" vertical="center"/>
    </xf>
    <xf numFmtId="2" fontId="3" fillId="0" borderId="11" xfId="2" applyNumberFormat="1" applyFont="1" applyBorder="1" applyAlignment="1">
      <alignment horizontal="center" vertical="center"/>
    </xf>
    <xf numFmtId="164" fontId="3" fillId="0" borderId="0" xfId="3" applyFont="1" applyFill="1" applyBorder="1" applyAlignment="1">
      <alignment horizontal="center" vertical="center"/>
    </xf>
    <xf numFmtId="164" fontId="3" fillId="0" borderId="11" xfId="3" applyFont="1" applyFill="1" applyBorder="1" applyAlignment="1">
      <alignment horizontal="right" vertical="top"/>
    </xf>
    <xf numFmtId="165" fontId="5" fillId="0" borderId="11" xfId="2" applyNumberFormat="1" applyFont="1" applyBorder="1" applyAlignment="1">
      <alignment horizontal="center" vertical="center"/>
    </xf>
    <xf numFmtId="0" fontId="6" fillId="0" borderId="11" xfId="2" applyFont="1" applyBorder="1" applyAlignment="1">
      <alignment horizontal="left" wrapText="1"/>
    </xf>
    <xf numFmtId="0" fontId="5" fillId="0" borderId="0" xfId="2" applyFont="1" applyAlignment="1">
      <alignment horizontal="center" vertical="center"/>
    </xf>
    <xf numFmtId="2" fontId="5" fillId="0" borderId="11" xfId="2" applyNumberFormat="1" applyFont="1" applyBorder="1" applyAlignment="1">
      <alignment horizontal="center" vertical="center"/>
    </xf>
    <xf numFmtId="164" fontId="5" fillId="0" borderId="0" xfId="3" applyFont="1" applyFill="1" applyBorder="1" applyAlignment="1">
      <alignment horizontal="center" vertical="center"/>
    </xf>
    <xf numFmtId="0" fontId="7" fillId="0" borderId="11" xfId="2" applyFont="1" applyBorder="1" applyAlignment="1">
      <alignment horizontal="left" wrapText="1"/>
    </xf>
    <xf numFmtId="0" fontId="8" fillId="0" borderId="11" xfId="2" applyFont="1" applyBorder="1" applyAlignment="1">
      <alignment horizontal="left" wrapText="1"/>
    </xf>
    <xf numFmtId="0" fontId="7" fillId="0" borderId="11" xfId="2" applyFont="1" applyBorder="1" applyAlignment="1">
      <alignment horizontal="left"/>
    </xf>
    <xf numFmtId="0" fontId="8" fillId="0" borderId="11" xfId="2" applyFont="1" applyBorder="1" applyAlignment="1">
      <alignment horizontal="left"/>
    </xf>
    <xf numFmtId="0" fontId="5" fillId="0" borderId="11" xfId="2" applyFont="1" applyBorder="1" applyAlignment="1">
      <alignment horizontal="left"/>
    </xf>
    <xf numFmtId="0" fontId="5" fillId="0" borderId="11" xfId="0" applyFont="1" applyBorder="1" applyAlignment="1">
      <alignment wrapText="1"/>
    </xf>
    <xf numFmtId="0" fontId="5" fillId="0" borderId="11" xfId="2" applyFont="1" applyBorder="1" applyAlignment="1">
      <alignment horizontal="left" vertical="center" wrapText="1"/>
    </xf>
    <xf numFmtId="164" fontId="5" fillId="0" borderId="11" xfId="3" applyFont="1" applyFill="1" applyBorder="1" applyAlignment="1">
      <alignment horizontal="right" vertical="center"/>
    </xf>
    <xf numFmtId="164" fontId="5" fillId="0" borderId="11" xfId="3" applyFont="1" applyFill="1" applyBorder="1" applyAlignment="1">
      <alignment horizontal="right" vertical="top"/>
    </xf>
    <xf numFmtId="0" fontId="5" fillId="0" borderId="9" xfId="2" applyFont="1" applyBorder="1" applyAlignment="1">
      <alignment horizontal="center" vertical="center"/>
    </xf>
    <xf numFmtId="0" fontId="3" fillId="0" borderId="9" xfId="2" applyFont="1" applyBorder="1" applyAlignment="1">
      <alignment horizontal="left" wrapText="1"/>
    </xf>
    <xf numFmtId="0" fontId="5" fillId="0" borderId="10" xfId="2" applyFont="1" applyBorder="1" applyAlignment="1">
      <alignment horizontal="center" vertical="center"/>
    </xf>
    <xf numFmtId="2" fontId="5" fillId="0" borderId="9" xfId="2" applyNumberFormat="1" applyFont="1" applyBorder="1" applyAlignment="1">
      <alignment horizontal="center" vertical="center"/>
    </xf>
    <xf numFmtId="164" fontId="3" fillId="0" borderId="10" xfId="3" applyFont="1" applyFill="1" applyBorder="1" applyAlignment="1">
      <alignment horizontal="center" vertical="center"/>
    </xf>
    <xf numFmtId="164" fontId="3" fillId="0" borderId="9" xfId="3" applyFont="1" applyFill="1" applyBorder="1" applyAlignment="1">
      <alignment horizontal="left" vertical="center"/>
    </xf>
    <xf numFmtId="43" fontId="5" fillId="0" borderId="0" xfId="1" applyFont="1" applyFill="1"/>
    <xf numFmtId="43" fontId="3" fillId="0" borderId="9" xfId="1" applyFont="1" applyFill="1" applyBorder="1" applyAlignment="1">
      <alignment horizontal="center" vertical="center"/>
    </xf>
    <xf numFmtId="43" fontId="3" fillId="0" borderId="10" xfId="1" applyFont="1" applyFill="1" applyBorder="1" applyAlignment="1">
      <alignment horizontal="center" vertical="center" wrapText="1"/>
    </xf>
    <xf numFmtId="0" fontId="5" fillId="0" borderId="11" xfId="0" applyFont="1" applyBorder="1" applyAlignment="1">
      <alignment horizontal="center" vertical="center"/>
    </xf>
    <xf numFmtId="43" fontId="5" fillId="0" borderId="11" xfId="1" applyFont="1" applyFill="1" applyBorder="1"/>
    <xf numFmtId="0" fontId="9" fillId="0" borderId="11" xfId="0" applyFont="1" applyBorder="1" applyAlignment="1">
      <alignment wrapText="1"/>
    </xf>
    <xf numFmtId="0" fontId="5" fillId="0" borderId="9" xfId="0" applyFont="1" applyBorder="1" applyAlignment="1">
      <alignment horizontal="center" vertical="center"/>
    </xf>
    <xf numFmtId="43" fontId="5" fillId="0" borderId="9" xfId="1" applyFont="1" applyFill="1" applyBorder="1" applyAlignment="1">
      <alignment vertical="center"/>
    </xf>
    <xf numFmtId="43" fontId="5" fillId="0" borderId="10" xfId="1" applyFont="1" applyFill="1" applyBorder="1" applyAlignment="1">
      <alignment vertical="center"/>
    </xf>
    <xf numFmtId="43" fontId="3" fillId="0" borderId="9" xfId="1" applyFont="1" applyFill="1" applyBorder="1" applyAlignment="1">
      <alignment vertical="center"/>
    </xf>
    <xf numFmtId="43" fontId="5" fillId="0" borderId="0" xfId="1" applyFont="1" applyFill="1" applyBorder="1"/>
    <xf numFmtId="43" fontId="5" fillId="0" borderId="7" xfId="1" applyFont="1" applyFill="1" applyBorder="1"/>
    <xf numFmtId="0" fontId="3" fillId="0" borderId="11" xfId="0" applyFont="1" applyBorder="1" applyAlignment="1">
      <alignment horizontal="center" vertical="center" wrapText="1"/>
    </xf>
    <xf numFmtId="0" fontId="3" fillId="0" borderId="11" xfId="0" applyFont="1" applyBorder="1" applyAlignment="1">
      <alignment vertical="center" wrapText="1"/>
    </xf>
    <xf numFmtId="43" fontId="3" fillId="0" borderId="11" xfId="1" applyFont="1" applyFill="1" applyBorder="1" applyAlignment="1">
      <alignment horizontal="center" vertical="center"/>
    </xf>
    <xf numFmtId="43" fontId="3" fillId="0" borderId="0" xfId="1" applyFont="1" applyFill="1" applyBorder="1" applyAlignment="1">
      <alignment horizontal="center" vertical="center" wrapText="1"/>
    </xf>
    <xf numFmtId="43" fontId="3" fillId="0" borderId="11" xfId="1" applyFont="1" applyFill="1" applyBorder="1" applyAlignment="1">
      <alignment horizontal="right" vertical="center"/>
    </xf>
    <xf numFmtId="43" fontId="5" fillId="0" borderId="5" xfId="1" applyFont="1" applyFill="1" applyBorder="1"/>
    <xf numFmtId="0" fontId="3" fillId="0" borderId="9" xfId="0" applyFont="1" applyBorder="1" applyAlignment="1">
      <alignment wrapText="1"/>
    </xf>
    <xf numFmtId="43" fontId="5" fillId="0" borderId="9" xfId="1" applyFont="1" applyFill="1" applyBorder="1"/>
    <xf numFmtId="43" fontId="5" fillId="0" borderId="10" xfId="1" applyFont="1" applyFill="1" applyBorder="1"/>
    <xf numFmtId="43" fontId="3" fillId="0" borderId="9" xfId="1" applyFont="1" applyFill="1" applyBorder="1"/>
    <xf numFmtId="0" fontId="3" fillId="0" borderId="7" xfId="0" applyFont="1" applyBorder="1" applyAlignment="1">
      <alignment wrapText="1"/>
    </xf>
    <xf numFmtId="0" fontId="5" fillId="0" borderId="11" xfId="0" applyFont="1" applyBorder="1" applyAlignment="1">
      <alignment vertical="center" wrapText="1"/>
    </xf>
    <xf numFmtId="43" fontId="5" fillId="0" borderId="11" xfId="1" applyFont="1" applyFill="1" applyBorder="1" applyAlignment="1">
      <alignment vertical="center"/>
    </xf>
    <xf numFmtId="43" fontId="5" fillId="0" borderId="0" xfId="1" applyFont="1" applyFill="1" applyAlignment="1">
      <alignment vertical="center"/>
    </xf>
    <xf numFmtId="0" fontId="0" fillId="0" borderId="0" xfId="0" applyAlignment="1">
      <alignment vertical="center"/>
    </xf>
    <xf numFmtId="0" fontId="5" fillId="0" borderId="1" xfId="0" applyFont="1" applyBorder="1" applyAlignment="1">
      <alignment horizontal="center" vertical="center"/>
    </xf>
    <xf numFmtId="0" fontId="5" fillId="0" borderId="2" xfId="0" applyFont="1" applyBorder="1" applyAlignment="1">
      <alignment wrapText="1"/>
    </xf>
    <xf numFmtId="43" fontId="5" fillId="0" borderId="2" xfId="1" applyFont="1" applyFill="1" applyBorder="1"/>
    <xf numFmtId="43" fontId="5" fillId="0" borderId="3" xfId="1" applyFont="1" applyFill="1" applyBorder="1"/>
    <xf numFmtId="0" fontId="5" fillId="0" borderId="4" xfId="0" applyFont="1" applyBorder="1" applyAlignment="1">
      <alignment horizontal="center" vertical="center"/>
    </xf>
    <xf numFmtId="0" fontId="5" fillId="0" borderId="0" xfId="0" applyFont="1" applyBorder="1" applyAlignment="1">
      <alignment wrapText="1"/>
    </xf>
    <xf numFmtId="0" fontId="5" fillId="0" borderId="12" xfId="0" applyFont="1" applyBorder="1" applyAlignment="1">
      <alignment horizontal="center" vertical="center"/>
    </xf>
    <xf numFmtId="0" fontId="5" fillId="0" borderId="12" xfId="0" applyFont="1" applyBorder="1" applyAlignment="1">
      <alignment wrapText="1"/>
    </xf>
    <xf numFmtId="43" fontId="5" fillId="0" borderId="12" xfId="1" applyFont="1" applyFill="1" applyBorder="1"/>
    <xf numFmtId="0" fontId="5" fillId="0" borderId="13" xfId="0" applyFont="1" applyBorder="1" applyAlignment="1">
      <alignment horizontal="center" vertical="center"/>
    </xf>
    <xf numFmtId="0" fontId="3" fillId="0" borderId="13" xfId="0" applyFont="1" applyBorder="1" applyAlignment="1">
      <alignment wrapText="1"/>
    </xf>
    <xf numFmtId="43" fontId="5" fillId="0" borderId="13" xfId="1" applyFont="1" applyFill="1" applyBorder="1"/>
    <xf numFmtId="43" fontId="3" fillId="0" borderId="13" xfId="1" applyFont="1" applyFill="1" applyBorder="1"/>
    <xf numFmtId="0" fontId="3" fillId="0" borderId="4" xfId="0" applyFont="1" applyBorder="1" applyAlignment="1">
      <alignment horizontal="center" vertical="center"/>
    </xf>
    <xf numFmtId="43" fontId="0" fillId="0" borderId="0" xfId="0" applyNumberFormat="1" applyAlignment="1">
      <alignment vertical="center"/>
    </xf>
    <xf numFmtId="43" fontId="3" fillId="0" borderId="5" xfId="1" applyFont="1" applyFill="1" applyBorder="1"/>
    <xf numFmtId="0" fontId="5" fillId="0" borderId="6" xfId="0" applyFont="1" applyBorder="1" applyAlignment="1">
      <alignment horizontal="center" vertical="center"/>
    </xf>
    <xf numFmtId="43" fontId="5" fillId="0" borderId="8" xfId="1" applyFont="1" applyFill="1" applyBorder="1"/>
    <xf numFmtId="0" fontId="3" fillId="0" borderId="13" xfId="0" applyFont="1" applyBorder="1" applyAlignment="1">
      <alignment vertical="center" wrapText="1"/>
    </xf>
    <xf numFmtId="43" fontId="5" fillId="0" borderId="13" xfId="1" applyFont="1" applyFill="1" applyBorder="1" applyAlignment="1">
      <alignment vertical="center"/>
    </xf>
    <xf numFmtId="43" fontId="3" fillId="0" borderId="13" xfId="1" applyFont="1" applyFill="1" applyBorder="1" applyAlignment="1">
      <alignment vertical="center"/>
    </xf>
    <xf numFmtId="0" fontId="9" fillId="0" borderId="11" xfId="0" applyFont="1" applyBorder="1" applyAlignment="1">
      <alignment vertical="center" wrapText="1"/>
    </xf>
    <xf numFmtId="0" fontId="5" fillId="0" borderId="11" xfId="0" applyFont="1" applyBorder="1" applyAlignment="1">
      <alignment horizontal="left" wrapText="1"/>
    </xf>
    <xf numFmtId="2" fontId="5" fillId="0" borderId="11" xfId="0" applyNumberFormat="1" applyFont="1" applyBorder="1" applyAlignment="1">
      <alignment horizontal="center" vertical="center"/>
    </xf>
    <xf numFmtId="0" fontId="9" fillId="0" borderId="11" xfId="0" applyFont="1" applyBorder="1" applyAlignment="1">
      <alignment horizontal="left" wrapText="1"/>
    </xf>
    <xf numFmtId="0" fontId="3" fillId="0" borderId="0" xfId="0" applyFont="1" applyBorder="1" applyAlignment="1">
      <alignment horizontal="center" wrapText="1"/>
    </xf>
    <xf numFmtId="0" fontId="2" fillId="0" borderId="4" xfId="0" applyFont="1" applyBorder="1" applyAlignment="1">
      <alignment horizontal="center"/>
    </xf>
    <xf numFmtId="0" fontId="2" fillId="0" borderId="0" xfId="0" applyFont="1" applyAlignment="1">
      <alignment horizontal="center"/>
    </xf>
    <xf numFmtId="0" fontId="2" fillId="0" borderId="5" xfId="0" applyFont="1" applyBorder="1" applyAlignment="1">
      <alignment horizontal="center"/>
    </xf>
    <xf numFmtId="0" fontId="2" fillId="0" borderId="0" xfId="0" applyFont="1" applyBorder="1" applyAlignment="1">
      <alignment horizontal="center"/>
    </xf>
  </cellXfs>
  <cellStyles count="6">
    <cellStyle name="Comma" xfId="1" builtinId="3"/>
    <cellStyle name="Comma 2" xfId="5" xr:uid="{E86B295B-D942-454A-AF48-855A72595126}"/>
    <cellStyle name="Comma 3 5" xfId="3" xr:uid="{3B0943FC-75FD-4C61-88CD-70841367BE50}"/>
    <cellStyle name="Normal" xfId="0" builtinId="0"/>
    <cellStyle name="Normal 2" xfId="4" xr:uid="{29D41214-4D44-4B91-AFF1-581A95F63E2F}"/>
    <cellStyle name="Normal 4 3" xfId="2" xr:uid="{45C1AEAA-88F0-4C84-B331-55AF182DE4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FD820-14ED-423E-ADFA-8A6E8AD2994E}">
  <dimension ref="A1:J141"/>
  <sheetViews>
    <sheetView tabSelected="1" workbookViewId="0">
      <selection activeCell="I113" sqref="I113"/>
    </sheetView>
  </sheetViews>
  <sheetFormatPr defaultRowHeight="15" x14ac:dyDescent="0.25"/>
  <cols>
    <col min="1" max="1" width="11.140625" customWidth="1"/>
    <col min="2" max="2" width="53.28515625" customWidth="1"/>
    <col min="4" max="4" width="10.42578125" customWidth="1"/>
    <col min="5" max="5" width="12.7109375" customWidth="1"/>
    <col min="6" max="6" width="15" customWidth="1"/>
    <col min="9" max="9" width="9.42578125" bestFit="1" customWidth="1"/>
  </cols>
  <sheetData>
    <row r="1" spans="1:6" x14ac:dyDescent="0.25">
      <c r="A1" s="1"/>
      <c r="B1" s="2"/>
      <c r="C1" s="2"/>
      <c r="D1" s="2"/>
      <c r="E1" s="2"/>
      <c r="F1" s="3"/>
    </row>
    <row r="2" spans="1:6" ht="15.75" x14ac:dyDescent="0.25">
      <c r="A2" s="92" t="s">
        <v>37</v>
      </c>
      <c r="B2" s="93"/>
      <c r="C2" s="93"/>
      <c r="D2" s="93"/>
      <c r="E2" s="93"/>
      <c r="F2" s="94"/>
    </row>
    <row r="3" spans="1:6" ht="15.75" x14ac:dyDescent="0.25">
      <c r="A3" s="92" t="s">
        <v>36</v>
      </c>
      <c r="B3" s="95"/>
      <c r="C3" s="95"/>
      <c r="D3" s="95"/>
      <c r="E3" s="95"/>
      <c r="F3" s="94"/>
    </row>
    <row r="4" spans="1:6" ht="15.75" x14ac:dyDescent="0.25">
      <c r="A4" s="92" t="s">
        <v>89</v>
      </c>
      <c r="B4" s="95"/>
      <c r="C4" s="95"/>
      <c r="D4" s="95"/>
      <c r="E4" s="95"/>
      <c r="F4" s="94"/>
    </row>
    <row r="5" spans="1:6" ht="15.75" x14ac:dyDescent="0.25">
      <c r="A5" s="92" t="s">
        <v>60</v>
      </c>
      <c r="B5" s="95"/>
      <c r="C5" s="95"/>
      <c r="D5" s="95"/>
      <c r="E5" s="95"/>
      <c r="F5" s="94"/>
    </row>
    <row r="6" spans="1:6" ht="15.75" x14ac:dyDescent="0.25">
      <c r="A6" s="92" t="s">
        <v>90</v>
      </c>
      <c r="B6" s="95"/>
      <c r="C6" s="95"/>
      <c r="D6" s="95"/>
      <c r="E6" s="95"/>
      <c r="F6" s="94"/>
    </row>
    <row r="7" spans="1:6" ht="15.75" x14ac:dyDescent="0.25">
      <c r="A7" s="92" t="s">
        <v>91</v>
      </c>
      <c r="B7" s="95"/>
      <c r="C7" s="95"/>
      <c r="D7" s="95"/>
      <c r="E7" s="95"/>
      <c r="F7" s="94"/>
    </row>
    <row r="8" spans="1:6" x14ac:dyDescent="0.25">
      <c r="A8" s="4"/>
      <c r="B8" s="5"/>
      <c r="C8" s="5"/>
      <c r="D8" s="5"/>
      <c r="E8" s="5"/>
      <c r="F8" s="6"/>
    </row>
    <row r="9" spans="1:6" x14ac:dyDescent="0.25">
      <c r="A9" s="7" t="s">
        <v>0</v>
      </c>
      <c r="B9" s="8" t="s">
        <v>1</v>
      </c>
      <c r="C9" s="9" t="s">
        <v>2</v>
      </c>
      <c r="D9" s="10" t="s">
        <v>3</v>
      </c>
      <c r="E9" s="11" t="s">
        <v>4</v>
      </c>
      <c r="F9" s="12" t="s">
        <v>5</v>
      </c>
    </row>
    <row r="10" spans="1:6" ht="16.5" x14ac:dyDescent="0.25">
      <c r="A10" s="13"/>
      <c r="B10" s="14"/>
      <c r="C10" s="15"/>
      <c r="D10" s="16"/>
      <c r="E10" s="17"/>
      <c r="F10" s="18"/>
    </row>
    <row r="11" spans="1:6" ht="16.5" x14ac:dyDescent="0.25">
      <c r="A11" s="19"/>
      <c r="B11" s="14" t="s">
        <v>6</v>
      </c>
      <c r="C11" s="21"/>
      <c r="D11" s="22"/>
      <c r="E11" s="23"/>
      <c r="F11" s="18"/>
    </row>
    <row r="12" spans="1:6" ht="16.5" x14ac:dyDescent="0.25">
      <c r="A12" s="19"/>
      <c r="B12" s="14"/>
      <c r="C12" s="21"/>
      <c r="D12" s="22"/>
      <c r="E12" s="23"/>
      <c r="F12" s="18"/>
    </row>
    <row r="13" spans="1:6" ht="48.6" customHeight="1" x14ac:dyDescent="0.25">
      <c r="A13" s="19"/>
      <c r="B13" s="24" t="s">
        <v>7</v>
      </c>
      <c r="C13" s="21"/>
      <c r="D13" s="22"/>
      <c r="E13" s="23"/>
      <c r="F13" s="18"/>
    </row>
    <row r="14" spans="1:6" ht="16.5" x14ac:dyDescent="0.25">
      <c r="A14" s="19"/>
      <c r="B14" s="20"/>
      <c r="C14" s="21"/>
      <c r="D14" s="22"/>
      <c r="E14" s="23"/>
      <c r="F14" s="18"/>
    </row>
    <row r="15" spans="1:6" ht="57.75" x14ac:dyDescent="0.25">
      <c r="A15" s="19" t="s">
        <v>8</v>
      </c>
      <c r="B15" s="25" t="s">
        <v>9</v>
      </c>
      <c r="C15" s="21"/>
      <c r="D15" s="22"/>
      <c r="E15" s="23"/>
      <c r="F15" s="18"/>
    </row>
    <row r="16" spans="1:6" ht="16.5" x14ac:dyDescent="0.25">
      <c r="A16" s="19"/>
      <c r="B16" s="26"/>
      <c r="C16" s="21"/>
      <c r="D16" s="22"/>
      <c r="E16" s="23"/>
      <c r="F16" s="18"/>
    </row>
    <row r="17" spans="1:6" ht="57.75" x14ac:dyDescent="0.25">
      <c r="A17" s="19" t="s">
        <v>10</v>
      </c>
      <c r="B17" s="25" t="s">
        <v>11</v>
      </c>
      <c r="C17" s="21"/>
      <c r="D17" s="22"/>
      <c r="E17" s="23"/>
      <c r="F17" s="18"/>
    </row>
    <row r="18" spans="1:6" ht="16.5" x14ac:dyDescent="0.25">
      <c r="A18" s="19"/>
      <c r="B18" s="27"/>
      <c r="C18" s="21"/>
      <c r="D18" s="22"/>
      <c r="E18" s="23"/>
      <c r="F18" s="18"/>
    </row>
    <row r="19" spans="1:6" s="65" customFormat="1" ht="28.5" x14ac:dyDescent="0.2">
      <c r="A19" s="19" t="s">
        <v>12</v>
      </c>
      <c r="B19" s="25" t="s">
        <v>13</v>
      </c>
      <c r="C19" s="21"/>
      <c r="D19" s="22"/>
      <c r="E19" s="23"/>
      <c r="F19" s="18"/>
    </row>
    <row r="20" spans="1:6" s="65" customFormat="1" ht="16.5" x14ac:dyDescent="0.2">
      <c r="A20" s="19"/>
      <c r="B20" s="27"/>
      <c r="C20" s="21"/>
      <c r="D20" s="22"/>
      <c r="E20" s="23"/>
      <c r="F20" s="18"/>
    </row>
    <row r="21" spans="1:6" s="65" customFormat="1" ht="42.75" x14ac:dyDescent="0.2">
      <c r="A21" s="19" t="s">
        <v>14</v>
      </c>
      <c r="B21" s="25" t="s">
        <v>15</v>
      </c>
      <c r="C21" s="21"/>
      <c r="D21" s="22"/>
      <c r="E21" s="23"/>
      <c r="F21" s="18"/>
    </row>
    <row r="22" spans="1:6" s="65" customFormat="1" ht="16.5" x14ac:dyDescent="0.2">
      <c r="A22" s="19"/>
      <c r="B22" s="27"/>
      <c r="C22" s="21"/>
      <c r="D22" s="22"/>
      <c r="E22" s="23"/>
      <c r="F22" s="18"/>
    </row>
    <row r="23" spans="1:6" s="65" customFormat="1" ht="57" x14ac:dyDescent="0.2">
      <c r="A23" s="19" t="s">
        <v>16</v>
      </c>
      <c r="B23" s="25" t="s">
        <v>38</v>
      </c>
      <c r="C23" s="21"/>
      <c r="D23" s="22"/>
      <c r="E23" s="23"/>
      <c r="F23" s="18"/>
    </row>
    <row r="24" spans="1:6" s="65" customFormat="1" ht="16.5" x14ac:dyDescent="0.2">
      <c r="A24" s="19"/>
      <c r="B24" s="27"/>
      <c r="C24" s="21"/>
      <c r="D24" s="22"/>
      <c r="E24" s="23"/>
      <c r="F24" s="18"/>
    </row>
    <row r="25" spans="1:6" s="65" customFormat="1" ht="42.75" x14ac:dyDescent="0.2">
      <c r="A25" s="19" t="s">
        <v>17</v>
      </c>
      <c r="B25" s="25" t="s">
        <v>39</v>
      </c>
      <c r="C25" s="21"/>
      <c r="D25" s="22"/>
      <c r="E25" s="23"/>
      <c r="F25" s="18"/>
    </row>
    <row r="26" spans="1:6" s="65" customFormat="1" ht="16.5" x14ac:dyDescent="0.2">
      <c r="A26" s="19"/>
      <c r="B26" s="27"/>
      <c r="C26" s="21"/>
      <c r="D26" s="22"/>
      <c r="E26" s="23"/>
      <c r="F26" s="18"/>
    </row>
    <row r="27" spans="1:6" s="65" customFormat="1" ht="42.75" x14ac:dyDescent="0.2">
      <c r="A27" s="19" t="s">
        <v>18</v>
      </c>
      <c r="B27" s="25" t="s">
        <v>19</v>
      </c>
      <c r="C27" s="21"/>
      <c r="D27" s="22"/>
      <c r="E27" s="23"/>
      <c r="F27" s="18"/>
    </row>
    <row r="28" spans="1:6" s="65" customFormat="1" ht="16.5" x14ac:dyDescent="0.2">
      <c r="A28" s="19"/>
      <c r="B28" s="27"/>
      <c r="C28" s="21"/>
      <c r="D28" s="22"/>
      <c r="E28" s="23"/>
      <c r="F28" s="18"/>
    </row>
    <row r="29" spans="1:6" s="65" customFormat="1" ht="57" x14ac:dyDescent="0.2">
      <c r="A29" s="19" t="s">
        <v>20</v>
      </c>
      <c r="B29" s="25" t="s">
        <v>40</v>
      </c>
      <c r="C29" s="21"/>
      <c r="D29" s="22"/>
      <c r="E29" s="23"/>
      <c r="F29" s="18"/>
    </row>
    <row r="30" spans="1:6" s="65" customFormat="1" ht="16.5" x14ac:dyDescent="0.2">
      <c r="A30" s="19"/>
      <c r="B30" s="27"/>
      <c r="C30" s="21"/>
      <c r="D30" s="22"/>
      <c r="E30" s="23"/>
      <c r="F30" s="18"/>
    </row>
    <row r="31" spans="1:6" s="65" customFormat="1" ht="28.5" x14ac:dyDescent="0.2">
      <c r="A31" s="19" t="s">
        <v>21</v>
      </c>
      <c r="B31" s="25" t="s">
        <v>22</v>
      </c>
      <c r="C31" s="21"/>
      <c r="D31" s="22"/>
      <c r="E31" s="23"/>
      <c r="F31" s="18"/>
    </row>
    <row r="32" spans="1:6" s="65" customFormat="1" ht="16.5" x14ac:dyDescent="0.2">
      <c r="A32" s="19"/>
      <c r="B32" s="27"/>
      <c r="C32" s="21"/>
      <c r="D32" s="22"/>
      <c r="E32" s="23"/>
      <c r="F32" s="18"/>
    </row>
    <row r="33" spans="1:6" s="65" customFormat="1" ht="28.5" x14ac:dyDescent="0.2">
      <c r="A33" s="19" t="s">
        <v>23</v>
      </c>
      <c r="B33" s="25" t="s">
        <v>24</v>
      </c>
      <c r="C33" s="21"/>
      <c r="D33" s="22"/>
      <c r="E33" s="23"/>
      <c r="F33" s="18"/>
    </row>
    <row r="34" spans="1:6" s="65" customFormat="1" ht="16.5" x14ac:dyDescent="0.2">
      <c r="A34" s="19"/>
      <c r="B34" s="25"/>
      <c r="C34" s="21"/>
      <c r="D34" s="22"/>
      <c r="E34" s="23"/>
      <c r="F34" s="18"/>
    </row>
    <row r="35" spans="1:6" s="65" customFormat="1" ht="42.75" x14ac:dyDescent="0.2">
      <c r="A35" s="19" t="s">
        <v>25</v>
      </c>
      <c r="B35" s="25" t="s">
        <v>41</v>
      </c>
      <c r="C35" s="21"/>
      <c r="D35" s="22"/>
      <c r="E35" s="23"/>
      <c r="F35" s="18"/>
    </row>
    <row r="36" spans="1:6" s="65" customFormat="1" ht="16.5" x14ac:dyDescent="0.3">
      <c r="A36" s="19"/>
      <c r="B36" s="28"/>
      <c r="C36" s="21"/>
      <c r="D36" s="22"/>
      <c r="E36" s="23"/>
      <c r="F36" s="18"/>
    </row>
    <row r="37" spans="1:6" s="65" customFormat="1" ht="28.5" x14ac:dyDescent="0.2">
      <c r="A37" s="19" t="s">
        <v>26</v>
      </c>
      <c r="B37" s="25" t="s">
        <v>27</v>
      </c>
      <c r="C37" s="21"/>
      <c r="D37" s="22"/>
      <c r="E37" s="23"/>
      <c r="F37" s="18"/>
    </row>
    <row r="38" spans="1:6" s="65" customFormat="1" ht="16.5" x14ac:dyDescent="0.2">
      <c r="A38" s="19"/>
      <c r="B38" s="27"/>
      <c r="C38" s="21"/>
      <c r="D38" s="22"/>
      <c r="E38" s="23"/>
      <c r="F38" s="18"/>
    </row>
    <row r="39" spans="1:6" s="65" customFormat="1" ht="33" x14ac:dyDescent="0.3">
      <c r="A39" s="19" t="s">
        <v>28</v>
      </c>
      <c r="B39" s="29" t="s">
        <v>29</v>
      </c>
      <c r="C39" s="21"/>
      <c r="D39" s="22"/>
      <c r="E39" s="23"/>
      <c r="F39" s="18"/>
    </row>
    <row r="40" spans="1:6" s="65" customFormat="1" ht="16.5" x14ac:dyDescent="0.2">
      <c r="A40" s="19"/>
      <c r="B40" s="27"/>
      <c r="C40" s="21"/>
      <c r="D40" s="22"/>
      <c r="E40" s="23"/>
      <c r="F40" s="18"/>
    </row>
    <row r="41" spans="1:6" s="65" customFormat="1" ht="57" x14ac:dyDescent="0.2">
      <c r="A41" s="19" t="s">
        <v>30</v>
      </c>
      <c r="B41" s="25" t="s">
        <v>31</v>
      </c>
      <c r="C41" s="21"/>
      <c r="D41" s="22"/>
      <c r="E41" s="23"/>
      <c r="F41" s="18"/>
    </row>
    <row r="42" spans="1:6" s="65" customFormat="1" ht="16.5" x14ac:dyDescent="0.2">
      <c r="A42" s="19"/>
      <c r="B42" s="25"/>
      <c r="C42" s="21"/>
      <c r="D42" s="22"/>
      <c r="E42" s="23"/>
      <c r="F42" s="18"/>
    </row>
    <row r="43" spans="1:6" s="65" customFormat="1" ht="16.5" x14ac:dyDescent="0.3">
      <c r="A43" s="66"/>
      <c r="B43" s="67"/>
      <c r="C43" s="68"/>
      <c r="D43" s="68"/>
      <c r="E43" s="68"/>
      <c r="F43" s="69"/>
    </row>
    <row r="44" spans="1:6" s="65" customFormat="1" ht="16.5" x14ac:dyDescent="0.3">
      <c r="A44" s="79" t="s">
        <v>48</v>
      </c>
      <c r="B44" s="91" t="s">
        <v>32</v>
      </c>
      <c r="C44" s="91"/>
      <c r="D44" s="91"/>
      <c r="E44" s="49"/>
      <c r="F44" s="56"/>
    </row>
    <row r="45" spans="1:6" s="65" customFormat="1" ht="16.5" x14ac:dyDescent="0.3">
      <c r="A45" s="70"/>
      <c r="B45" s="71"/>
      <c r="C45" s="49"/>
      <c r="D45" s="49"/>
      <c r="E45" s="49"/>
      <c r="F45" s="56"/>
    </row>
    <row r="46" spans="1:6" s="65" customFormat="1" x14ac:dyDescent="0.25">
      <c r="A46" s="7" t="s">
        <v>0</v>
      </c>
      <c r="B46" s="8" t="s">
        <v>1</v>
      </c>
      <c r="C46" s="40" t="s">
        <v>2</v>
      </c>
      <c r="D46" s="41" t="s">
        <v>3</v>
      </c>
      <c r="E46" s="12" t="s">
        <v>4</v>
      </c>
      <c r="F46" s="12" t="s">
        <v>5</v>
      </c>
    </row>
    <row r="47" spans="1:6" s="65" customFormat="1" ht="16.5" x14ac:dyDescent="0.3">
      <c r="A47" s="42"/>
      <c r="B47" s="29"/>
      <c r="C47" s="43"/>
      <c r="D47" s="49"/>
      <c r="E47" s="43"/>
      <c r="F47" s="43"/>
    </row>
    <row r="48" spans="1:6" s="65" customFormat="1" ht="82.5" x14ac:dyDescent="0.25">
      <c r="A48" s="19" t="s">
        <v>50</v>
      </c>
      <c r="B48" s="30" t="s">
        <v>46</v>
      </c>
      <c r="C48" s="21" t="s">
        <v>44</v>
      </c>
      <c r="D48" s="22">
        <v>1</v>
      </c>
      <c r="E48" s="23">
        <v>65000</v>
      </c>
      <c r="F48" s="31">
        <f>D48*E48</f>
        <v>65000</v>
      </c>
    </row>
    <row r="49" spans="1:6" s="65" customFormat="1" ht="16.5" x14ac:dyDescent="0.3">
      <c r="A49" s="19"/>
      <c r="B49" s="28"/>
      <c r="C49" s="21"/>
      <c r="D49" s="22"/>
      <c r="E49" s="23"/>
      <c r="F49" s="32"/>
    </row>
    <row r="50" spans="1:6" s="65" customFormat="1" ht="82.5" x14ac:dyDescent="0.25">
      <c r="A50" s="19" t="s">
        <v>51</v>
      </c>
      <c r="B50" s="30" t="s">
        <v>45</v>
      </c>
      <c r="C50" s="21" t="s">
        <v>44</v>
      </c>
      <c r="D50" s="22">
        <v>1</v>
      </c>
      <c r="E50" s="23">
        <v>12500</v>
      </c>
      <c r="F50" s="31">
        <f t="shared" ref="F50" si="0">D50*E50</f>
        <v>12500</v>
      </c>
    </row>
    <row r="51" spans="1:6" s="65" customFormat="1" ht="16.5" x14ac:dyDescent="0.3">
      <c r="A51" s="19"/>
      <c r="B51" s="28"/>
      <c r="C51" s="21"/>
      <c r="D51" s="22"/>
      <c r="E51" s="23"/>
      <c r="F51" s="18"/>
    </row>
    <row r="52" spans="1:6" s="65" customFormat="1" ht="28.5" x14ac:dyDescent="0.2">
      <c r="A52" s="33"/>
      <c r="B52" s="34" t="s">
        <v>47</v>
      </c>
      <c r="C52" s="35"/>
      <c r="D52" s="36"/>
      <c r="E52" s="37" t="s">
        <v>34</v>
      </c>
      <c r="F52" s="38">
        <f>SUM(F48:F51)</f>
        <v>77500</v>
      </c>
    </row>
    <row r="53" spans="1:6" ht="16.5" x14ac:dyDescent="0.3">
      <c r="A53" s="66"/>
      <c r="B53" s="67"/>
      <c r="C53" s="68"/>
      <c r="D53" s="68"/>
      <c r="E53" s="68"/>
      <c r="F53" s="69"/>
    </row>
    <row r="54" spans="1:6" ht="16.5" x14ac:dyDescent="0.3">
      <c r="A54" s="79" t="s">
        <v>49</v>
      </c>
      <c r="B54" s="91" t="s">
        <v>95</v>
      </c>
      <c r="C54" s="91"/>
      <c r="D54" s="91"/>
      <c r="E54" s="49"/>
      <c r="F54" s="56"/>
    </row>
    <row r="55" spans="1:6" ht="16.5" x14ac:dyDescent="0.3">
      <c r="A55" s="70"/>
      <c r="B55" s="71"/>
      <c r="C55" s="49"/>
      <c r="D55" s="49"/>
      <c r="E55" s="49"/>
      <c r="F55" s="56"/>
    </row>
    <row r="56" spans="1:6" x14ac:dyDescent="0.25">
      <c r="A56" s="7" t="s">
        <v>0</v>
      </c>
      <c r="B56" s="8" t="s">
        <v>1</v>
      </c>
      <c r="C56" s="40" t="s">
        <v>2</v>
      </c>
      <c r="D56" s="41" t="s">
        <v>3</v>
      </c>
      <c r="E56" s="12" t="s">
        <v>4</v>
      </c>
      <c r="F56" s="12" t="s">
        <v>5</v>
      </c>
    </row>
    <row r="57" spans="1:6" ht="16.5" x14ac:dyDescent="0.3">
      <c r="A57" s="42"/>
      <c r="B57" s="29"/>
      <c r="C57" s="43"/>
      <c r="D57" s="49"/>
      <c r="E57" s="43"/>
      <c r="F57" s="43"/>
    </row>
    <row r="58" spans="1:6" ht="16.5" x14ac:dyDescent="0.3">
      <c r="A58" s="42"/>
      <c r="B58" s="44" t="s">
        <v>61</v>
      </c>
      <c r="C58" s="43"/>
      <c r="D58" s="39"/>
      <c r="E58" s="43"/>
      <c r="F58" s="43"/>
    </row>
    <row r="59" spans="1:6" ht="16.5" x14ac:dyDescent="0.3">
      <c r="A59" s="42"/>
      <c r="B59" s="29"/>
      <c r="C59" s="43"/>
      <c r="D59" s="39"/>
      <c r="E59" s="43"/>
      <c r="F59" s="43"/>
    </row>
    <row r="60" spans="1:6" ht="49.5" x14ac:dyDescent="0.3">
      <c r="A60" s="42">
        <v>2.1</v>
      </c>
      <c r="B60" s="29" t="s">
        <v>71</v>
      </c>
      <c r="C60" s="63" t="s">
        <v>42</v>
      </c>
      <c r="D60" s="64">
        <v>1650</v>
      </c>
      <c r="E60" s="63">
        <v>215</v>
      </c>
      <c r="F60" s="63">
        <f>D60*E60</f>
        <v>354750</v>
      </c>
    </row>
    <row r="61" spans="1:6" ht="16.5" x14ac:dyDescent="0.3">
      <c r="A61" s="42"/>
      <c r="B61" s="29"/>
      <c r="C61" s="43"/>
      <c r="D61" s="39"/>
      <c r="E61" s="43"/>
      <c r="F61" s="43"/>
    </row>
    <row r="62" spans="1:6" s="65" customFormat="1" ht="49.5" x14ac:dyDescent="0.25">
      <c r="A62" s="42">
        <v>2.2000000000000002</v>
      </c>
      <c r="B62" s="62" t="s">
        <v>67</v>
      </c>
      <c r="C62" s="63" t="s">
        <v>43</v>
      </c>
      <c r="D62" s="64">
        <v>225</v>
      </c>
      <c r="E62" s="63">
        <v>115</v>
      </c>
      <c r="F62" s="63">
        <f>D62*E62</f>
        <v>25875</v>
      </c>
    </row>
    <row r="63" spans="1:6" ht="16.5" x14ac:dyDescent="0.3">
      <c r="A63" s="42"/>
      <c r="B63" s="29"/>
      <c r="C63" s="43"/>
      <c r="D63" s="39"/>
      <c r="E63" s="43"/>
      <c r="F63" s="43"/>
    </row>
    <row r="64" spans="1:6" ht="16.5" x14ac:dyDescent="0.3">
      <c r="A64" s="42"/>
      <c r="B64" s="44" t="s">
        <v>58</v>
      </c>
      <c r="C64" s="43"/>
      <c r="D64" s="39"/>
      <c r="E64" s="43"/>
      <c r="F64" s="43"/>
    </row>
    <row r="65" spans="1:6" ht="16.5" x14ac:dyDescent="0.3">
      <c r="A65" s="42"/>
      <c r="B65" s="29"/>
      <c r="C65" s="43"/>
      <c r="D65" s="39"/>
      <c r="E65" s="43"/>
      <c r="F65" s="43"/>
    </row>
    <row r="66" spans="1:6" ht="66" x14ac:dyDescent="0.25">
      <c r="A66" s="42">
        <v>2.2999999999999998</v>
      </c>
      <c r="B66" s="62" t="s">
        <v>62</v>
      </c>
      <c r="C66" s="63" t="s">
        <v>43</v>
      </c>
      <c r="D66" s="64">
        <v>63</v>
      </c>
      <c r="E66" s="63">
        <v>215</v>
      </c>
      <c r="F66" s="63">
        <f>D66*E66</f>
        <v>13545</v>
      </c>
    </row>
    <row r="67" spans="1:6" ht="16.5" x14ac:dyDescent="0.3">
      <c r="A67" s="42"/>
      <c r="B67" s="29"/>
      <c r="C67" s="43"/>
      <c r="D67" s="39"/>
      <c r="E67" s="43"/>
      <c r="F67" s="43"/>
    </row>
    <row r="68" spans="1:6" ht="16.5" x14ac:dyDescent="0.3">
      <c r="A68" s="42"/>
      <c r="B68" s="44" t="s">
        <v>63</v>
      </c>
      <c r="C68" s="43"/>
      <c r="D68" s="39"/>
      <c r="E68" s="43"/>
      <c r="F68" s="43"/>
    </row>
    <row r="69" spans="1:6" ht="16.5" x14ac:dyDescent="0.3">
      <c r="A69" s="42"/>
      <c r="B69" s="29"/>
      <c r="C69" s="43"/>
      <c r="D69" s="39"/>
      <c r="E69" s="43"/>
      <c r="F69" s="43"/>
    </row>
    <row r="70" spans="1:6" s="65" customFormat="1" ht="33" x14ac:dyDescent="0.25">
      <c r="A70" s="42">
        <v>2.4</v>
      </c>
      <c r="B70" s="62" t="s">
        <v>64</v>
      </c>
      <c r="C70" s="63" t="s">
        <v>43</v>
      </c>
      <c r="D70" s="64">
        <v>45</v>
      </c>
      <c r="E70" s="63">
        <v>3000</v>
      </c>
      <c r="F70" s="63">
        <f>D70*E70</f>
        <v>135000</v>
      </c>
    </row>
    <row r="71" spans="1:6" ht="16.5" x14ac:dyDescent="0.3">
      <c r="A71" s="42"/>
      <c r="B71" s="29"/>
      <c r="C71" s="43"/>
      <c r="D71" s="39"/>
      <c r="E71" s="43"/>
      <c r="F71" s="43"/>
    </row>
    <row r="72" spans="1:6" s="65" customFormat="1" ht="33" x14ac:dyDescent="0.25">
      <c r="A72" s="42">
        <v>2.5</v>
      </c>
      <c r="B72" s="62" t="s">
        <v>94</v>
      </c>
      <c r="C72" s="63" t="s">
        <v>43</v>
      </c>
      <c r="D72" s="64">
        <v>163</v>
      </c>
      <c r="E72" s="63">
        <v>3000</v>
      </c>
      <c r="F72" s="63">
        <f>D72*E72</f>
        <v>489000</v>
      </c>
    </row>
    <row r="73" spans="1:6" ht="16.5" x14ac:dyDescent="0.3">
      <c r="A73" s="42"/>
      <c r="B73" s="29"/>
      <c r="C73" s="43"/>
      <c r="D73" s="39"/>
      <c r="E73" s="43"/>
      <c r="F73" s="43"/>
    </row>
    <row r="74" spans="1:6" ht="16.5" x14ac:dyDescent="0.25">
      <c r="A74" s="42">
        <v>2.6</v>
      </c>
      <c r="B74" s="62" t="s">
        <v>96</v>
      </c>
      <c r="C74" s="63" t="s">
        <v>43</v>
      </c>
      <c r="D74" s="64">
        <v>36</v>
      </c>
      <c r="E74" s="63">
        <v>3000</v>
      </c>
      <c r="F74" s="63">
        <f>E74*D74</f>
        <v>108000</v>
      </c>
    </row>
    <row r="75" spans="1:6" ht="16.5" x14ac:dyDescent="0.3">
      <c r="A75" s="42"/>
      <c r="B75" s="29"/>
      <c r="C75" s="43"/>
      <c r="D75" s="39"/>
      <c r="E75" s="43"/>
      <c r="F75" s="43"/>
    </row>
    <row r="76" spans="1:6" ht="16.5" x14ac:dyDescent="0.25">
      <c r="A76" s="42">
        <v>2.7</v>
      </c>
      <c r="B76" s="62" t="s">
        <v>65</v>
      </c>
      <c r="C76" s="63" t="s">
        <v>42</v>
      </c>
      <c r="D76" s="64">
        <v>1650</v>
      </c>
      <c r="E76" s="63">
        <v>9</v>
      </c>
      <c r="F76" s="63">
        <f>E76*D76</f>
        <v>14850</v>
      </c>
    </row>
    <row r="77" spans="1:6" ht="16.5" x14ac:dyDescent="0.3">
      <c r="A77" s="42"/>
      <c r="B77" s="29"/>
      <c r="C77" s="43"/>
      <c r="D77" s="39"/>
      <c r="E77" s="43"/>
      <c r="F77" s="43"/>
    </row>
    <row r="78" spans="1:6" s="65" customFormat="1" ht="115.5" x14ac:dyDescent="0.25">
      <c r="A78" s="42">
        <v>2.8</v>
      </c>
      <c r="B78" s="62" t="s">
        <v>66</v>
      </c>
      <c r="C78" s="63" t="s">
        <v>42</v>
      </c>
      <c r="D78" s="64">
        <v>1650</v>
      </c>
      <c r="E78" s="63">
        <v>25</v>
      </c>
      <c r="F78" s="63">
        <f>E78*D78</f>
        <v>41250</v>
      </c>
    </row>
    <row r="79" spans="1:6" s="65" customFormat="1" ht="16.5" x14ac:dyDescent="0.25">
      <c r="A79" s="42"/>
      <c r="B79" s="62"/>
      <c r="C79" s="63"/>
      <c r="D79" s="64"/>
      <c r="E79" s="63"/>
      <c r="F79" s="63"/>
    </row>
    <row r="80" spans="1:6" s="65" customFormat="1" ht="16.5" x14ac:dyDescent="0.25">
      <c r="A80" s="42"/>
      <c r="B80" s="87" t="s">
        <v>68</v>
      </c>
      <c r="C80" s="63"/>
      <c r="D80" s="64"/>
      <c r="E80" s="63"/>
      <c r="F80" s="63"/>
    </row>
    <row r="81" spans="1:6" s="65" customFormat="1" ht="16.5" x14ac:dyDescent="0.25">
      <c r="A81" s="42"/>
      <c r="B81" s="62"/>
      <c r="C81" s="63"/>
      <c r="D81" s="64"/>
      <c r="E81" s="63"/>
      <c r="F81" s="63"/>
    </row>
    <row r="82" spans="1:6" s="65" customFormat="1" ht="66" x14ac:dyDescent="0.25">
      <c r="A82" s="42">
        <v>2.9</v>
      </c>
      <c r="B82" s="62" t="s">
        <v>70</v>
      </c>
      <c r="C82" s="63" t="s">
        <v>35</v>
      </c>
      <c r="D82" s="64">
        <v>600</v>
      </c>
      <c r="E82" s="63">
        <v>520</v>
      </c>
      <c r="F82" s="63">
        <f>E82*D82</f>
        <v>312000</v>
      </c>
    </row>
    <row r="83" spans="1:6" s="65" customFormat="1" ht="16.5" x14ac:dyDescent="0.25">
      <c r="A83" s="42"/>
      <c r="B83" s="62"/>
      <c r="C83" s="63"/>
      <c r="D83" s="64"/>
      <c r="E83" s="63"/>
      <c r="F83" s="63"/>
    </row>
    <row r="84" spans="1:6" s="65" customFormat="1" ht="66" x14ac:dyDescent="0.25">
      <c r="A84" s="89">
        <v>2.1</v>
      </c>
      <c r="B84" s="62" t="s">
        <v>93</v>
      </c>
      <c r="C84" s="63" t="s">
        <v>69</v>
      </c>
      <c r="D84" s="64">
        <v>150</v>
      </c>
      <c r="E84" s="63">
        <v>120</v>
      </c>
      <c r="F84" s="63">
        <f>E84*D84</f>
        <v>18000</v>
      </c>
    </row>
    <row r="85" spans="1:6" s="65" customFormat="1" ht="16.5" x14ac:dyDescent="0.25">
      <c r="A85" s="42"/>
      <c r="B85" s="62"/>
      <c r="C85" s="63"/>
      <c r="D85" s="64"/>
      <c r="E85" s="63"/>
      <c r="F85" s="63"/>
    </row>
    <row r="86" spans="1:6" s="65" customFormat="1" ht="16.5" x14ac:dyDescent="0.25">
      <c r="A86" s="42">
        <v>2.11</v>
      </c>
      <c r="B86" s="62" t="s">
        <v>72</v>
      </c>
      <c r="C86" s="63" t="s">
        <v>35</v>
      </c>
      <c r="D86" s="64">
        <v>600</v>
      </c>
      <c r="E86" s="63">
        <v>75</v>
      </c>
      <c r="F86" s="63">
        <f>E86*D86</f>
        <v>45000</v>
      </c>
    </row>
    <row r="87" spans="1:6" ht="16.5" x14ac:dyDescent="0.3">
      <c r="A87" s="42"/>
      <c r="B87" s="29"/>
      <c r="C87" s="43"/>
      <c r="D87" s="39"/>
      <c r="E87" s="43"/>
      <c r="F87" s="43"/>
    </row>
    <row r="88" spans="1:6" ht="28.5" x14ac:dyDescent="0.25">
      <c r="A88" s="45"/>
      <c r="B88" s="8" t="s">
        <v>47</v>
      </c>
      <c r="C88" s="46"/>
      <c r="D88" s="47"/>
      <c r="E88" s="48" t="s">
        <v>34</v>
      </c>
      <c r="F88" s="48">
        <f>SUM(F60:F86)</f>
        <v>1557270</v>
      </c>
    </row>
    <row r="89" spans="1:6" ht="16.5" x14ac:dyDescent="0.3">
      <c r="A89" s="66"/>
      <c r="B89" s="67"/>
      <c r="C89" s="68"/>
      <c r="D89" s="68"/>
      <c r="E89" s="68"/>
      <c r="F89" s="69"/>
    </row>
    <row r="90" spans="1:6" ht="16.5" x14ac:dyDescent="0.3">
      <c r="A90" s="79" t="s">
        <v>55</v>
      </c>
      <c r="B90" s="91" t="s">
        <v>85</v>
      </c>
      <c r="C90" s="91"/>
      <c r="D90" s="91"/>
      <c r="E90" s="49"/>
      <c r="F90" s="56"/>
    </row>
    <row r="91" spans="1:6" ht="16.5" x14ac:dyDescent="0.3">
      <c r="A91" s="70"/>
      <c r="B91" s="71"/>
      <c r="C91" s="49"/>
      <c r="D91" s="49"/>
      <c r="E91" s="49"/>
      <c r="F91" s="56"/>
    </row>
    <row r="92" spans="1:6" x14ac:dyDescent="0.25">
      <c r="A92" s="7" t="s">
        <v>0</v>
      </c>
      <c r="B92" s="8" t="s">
        <v>1</v>
      </c>
      <c r="C92" s="40" t="s">
        <v>2</v>
      </c>
      <c r="D92" s="41" t="s">
        <v>3</v>
      </c>
      <c r="E92" s="12" t="s">
        <v>4</v>
      </c>
      <c r="F92" s="12" t="s">
        <v>5</v>
      </c>
    </row>
    <row r="93" spans="1:6" ht="16.5" x14ac:dyDescent="0.3">
      <c r="A93" s="72"/>
      <c r="B93" s="73"/>
      <c r="C93" s="74"/>
      <c r="D93" s="74"/>
      <c r="E93" s="74"/>
      <c r="F93" s="74"/>
    </row>
    <row r="94" spans="1:6" ht="82.5" x14ac:dyDescent="0.3">
      <c r="A94" s="42" t="s">
        <v>52</v>
      </c>
      <c r="B94" s="88" t="s">
        <v>75</v>
      </c>
      <c r="C94" s="63" t="s">
        <v>43</v>
      </c>
      <c r="D94" s="63">
        <v>180</v>
      </c>
      <c r="E94" s="63">
        <v>215</v>
      </c>
      <c r="F94" s="63">
        <f>E94*D94</f>
        <v>38700</v>
      </c>
    </row>
    <row r="95" spans="1:6" ht="16.5" x14ac:dyDescent="0.3">
      <c r="A95" s="42"/>
      <c r="B95" s="88"/>
      <c r="C95" s="63"/>
      <c r="D95" s="63"/>
      <c r="E95" s="63"/>
      <c r="F95" s="63"/>
    </row>
    <row r="96" spans="1:6" ht="49.5" x14ac:dyDescent="0.3">
      <c r="A96" s="42">
        <v>3.2</v>
      </c>
      <c r="B96" s="88" t="s">
        <v>76</v>
      </c>
      <c r="C96" s="63" t="s">
        <v>42</v>
      </c>
      <c r="D96" s="63">
        <v>620</v>
      </c>
      <c r="E96" s="63">
        <v>115</v>
      </c>
      <c r="F96" s="63">
        <f>E96*D96</f>
        <v>71300</v>
      </c>
    </row>
    <row r="97" spans="1:6" ht="16.5" x14ac:dyDescent="0.3">
      <c r="A97" s="42"/>
      <c r="B97" s="88"/>
      <c r="C97" s="63"/>
      <c r="D97" s="63"/>
      <c r="E97" s="63"/>
      <c r="F97" s="63"/>
    </row>
    <row r="98" spans="1:6" ht="49.5" x14ac:dyDescent="0.3">
      <c r="A98" s="42">
        <v>3.3</v>
      </c>
      <c r="B98" s="88" t="s">
        <v>77</v>
      </c>
      <c r="C98" s="63" t="s">
        <v>43</v>
      </c>
      <c r="D98" s="63">
        <v>220</v>
      </c>
      <c r="E98" s="63">
        <v>115</v>
      </c>
      <c r="F98" s="63">
        <f>E98*D98</f>
        <v>25300</v>
      </c>
    </row>
    <row r="99" spans="1:6" ht="16.5" x14ac:dyDescent="0.3">
      <c r="A99" s="42"/>
      <c r="B99" s="88"/>
      <c r="C99" s="63"/>
      <c r="D99" s="63"/>
      <c r="E99" s="63"/>
      <c r="F99" s="63"/>
    </row>
    <row r="100" spans="1:6" ht="66" x14ac:dyDescent="0.3">
      <c r="A100" s="42">
        <v>3.4</v>
      </c>
      <c r="B100" s="88" t="s">
        <v>78</v>
      </c>
      <c r="C100" s="63" t="s">
        <v>43</v>
      </c>
      <c r="D100" s="63">
        <v>216</v>
      </c>
      <c r="E100" s="63">
        <v>3000</v>
      </c>
      <c r="F100" s="63">
        <f>E100*D100</f>
        <v>648000</v>
      </c>
    </row>
    <row r="101" spans="1:6" ht="16.5" x14ac:dyDescent="0.3">
      <c r="A101" s="42"/>
      <c r="B101" s="88"/>
      <c r="C101" s="63"/>
      <c r="D101" s="63"/>
      <c r="E101" s="63"/>
      <c r="F101" s="63"/>
    </row>
    <row r="102" spans="1:6" ht="115.5" x14ac:dyDescent="0.3">
      <c r="A102" s="42">
        <v>3.5</v>
      </c>
      <c r="B102" s="88" t="s">
        <v>66</v>
      </c>
      <c r="C102" s="63" t="s">
        <v>42</v>
      </c>
      <c r="D102" s="63">
        <v>2160</v>
      </c>
      <c r="E102" s="63">
        <v>25</v>
      </c>
      <c r="F102" s="63">
        <f>E102*D102</f>
        <v>54000</v>
      </c>
    </row>
    <row r="103" spans="1:6" ht="16.5" x14ac:dyDescent="0.3">
      <c r="A103" s="42"/>
      <c r="B103" s="88"/>
      <c r="C103" s="63"/>
      <c r="D103" s="63"/>
      <c r="E103" s="63"/>
      <c r="F103" s="63"/>
    </row>
    <row r="104" spans="1:6" ht="33" x14ac:dyDescent="0.3">
      <c r="A104" s="42">
        <v>3.6</v>
      </c>
      <c r="B104" s="88" t="s">
        <v>79</v>
      </c>
      <c r="C104" s="63" t="s">
        <v>80</v>
      </c>
      <c r="D104" s="63">
        <v>2160</v>
      </c>
      <c r="E104" s="63">
        <v>9</v>
      </c>
      <c r="F104" s="63">
        <f>E104*D104</f>
        <v>19440</v>
      </c>
    </row>
    <row r="105" spans="1:6" ht="16.5" x14ac:dyDescent="0.3">
      <c r="A105" s="42"/>
      <c r="B105" s="88"/>
      <c r="C105" s="63"/>
      <c r="D105" s="63"/>
      <c r="E105" s="63"/>
      <c r="F105" s="63"/>
    </row>
    <row r="106" spans="1:6" ht="33" x14ac:dyDescent="0.3">
      <c r="A106" s="42">
        <v>3.7</v>
      </c>
      <c r="B106" s="88" t="s">
        <v>81</v>
      </c>
      <c r="C106" s="63" t="s">
        <v>35</v>
      </c>
      <c r="D106" s="63">
        <v>823</v>
      </c>
      <c r="E106" s="63">
        <v>98</v>
      </c>
      <c r="F106" s="63">
        <f>E106*D106</f>
        <v>80654</v>
      </c>
    </row>
    <row r="107" spans="1:6" ht="16.5" x14ac:dyDescent="0.3">
      <c r="A107" s="42"/>
      <c r="B107" s="88"/>
      <c r="C107" s="63"/>
      <c r="D107" s="63"/>
      <c r="E107" s="63"/>
      <c r="F107" s="63"/>
    </row>
    <row r="108" spans="1:6" ht="33" x14ac:dyDescent="0.3">
      <c r="A108" s="42">
        <v>3.8</v>
      </c>
      <c r="B108" s="88" t="s">
        <v>82</v>
      </c>
      <c r="C108" s="63" t="s">
        <v>35</v>
      </c>
      <c r="D108" s="63">
        <v>823</v>
      </c>
      <c r="E108" s="63">
        <v>120</v>
      </c>
      <c r="F108" s="63">
        <f>E108*D108</f>
        <v>98760</v>
      </c>
    </row>
    <row r="109" spans="1:6" ht="16.5" x14ac:dyDescent="0.3">
      <c r="A109" s="42"/>
      <c r="B109" s="88"/>
      <c r="C109" s="63"/>
      <c r="D109" s="63"/>
      <c r="E109" s="63"/>
      <c r="F109" s="63"/>
    </row>
    <row r="110" spans="1:6" ht="16.5" x14ac:dyDescent="0.25">
      <c r="A110" s="42"/>
      <c r="B110" s="90" t="s">
        <v>83</v>
      </c>
      <c r="C110" s="63"/>
      <c r="D110" s="63"/>
      <c r="E110" s="63"/>
      <c r="F110" s="63"/>
    </row>
    <row r="111" spans="1:6" ht="16.5" x14ac:dyDescent="0.3">
      <c r="A111" s="42"/>
      <c r="B111" s="88"/>
      <c r="C111" s="63"/>
      <c r="D111" s="63"/>
      <c r="E111" s="63"/>
      <c r="F111" s="63"/>
    </row>
    <row r="112" spans="1:6" ht="49.5" x14ac:dyDescent="0.3">
      <c r="A112" s="42">
        <v>3.9</v>
      </c>
      <c r="B112" s="88" t="s">
        <v>86</v>
      </c>
      <c r="C112" s="63" t="s">
        <v>35</v>
      </c>
      <c r="D112" s="63">
        <v>22</v>
      </c>
      <c r="E112" s="63">
        <v>20000</v>
      </c>
      <c r="F112" s="63">
        <f>E112*D112</f>
        <v>440000</v>
      </c>
    </row>
    <row r="113" spans="1:10" ht="16.5" x14ac:dyDescent="0.3">
      <c r="A113" s="42"/>
      <c r="B113" s="88"/>
      <c r="C113" s="63"/>
      <c r="D113" s="63"/>
      <c r="E113" s="63"/>
      <c r="F113" s="63"/>
    </row>
    <row r="114" spans="1:10" ht="33" x14ac:dyDescent="0.3">
      <c r="A114" s="89">
        <v>3.1</v>
      </c>
      <c r="B114" s="88" t="s">
        <v>84</v>
      </c>
      <c r="C114" s="63" t="s">
        <v>80</v>
      </c>
      <c r="D114" s="63">
        <v>14</v>
      </c>
      <c r="E114" s="63">
        <v>3000</v>
      </c>
      <c r="F114" s="63">
        <f>E114*D114</f>
        <v>42000</v>
      </c>
    </row>
    <row r="115" spans="1:10" ht="16.5" x14ac:dyDescent="0.3">
      <c r="A115" s="42"/>
      <c r="B115" s="88"/>
      <c r="C115" s="63"/>
      <c r="D115" s="63"/>
      <c r="E115" s="63"/>
      <c r="F115" s="63"/>
    </row>
    <row r="116" spans="1:10" ht="16.5" x14ac:dyDescent="0.3">
      <c r="A116" s="75"/>
      <c r="B116" s="76"/>
      <c r="C116" s="77"/>
      <c r="D116" s="77"/>
      <c r="E116" s="77"/>
      <c r="F116" s="78"/>
    </row>
    <row r="117" spans="1:10" s="65" customFormat="1" ht="28.5" x14ac:dyDescent="0.25">
      <c r="A117" s="75"/>
      <c r="B117" s="84" t="s">
        <v>47</v>
      </c>
      <c r="C117" s="85"/>
      <c r="D117" s="85"/>
      <c r="E117" s="85" t="s">
        <v>34</v>
      </c>
      <c r="F117" s="86">
        <f>SUM(F94:F115)</f>
        <v>1518154</v>
      </c>
    </row>
    <row r="118" spans="1:10" ht="16.5" x14ac:dyDescent="0.3">
      <c r="A118" s="66"/>
      <c r="B118" s="67"/>
      <c r="C118" s="68"/>
      <c r="D118" s="68"/>
      <c r="E118" s="68"/>
      <c r="F118" s="69"/>
    </row>
    <row r="119" spans="1:10" ht="16.5" x14ac:dyDescent="0.3">
      <c r="A119" s="70" t="s">
        <v>57</v>
      </c>
      <c r="B119" s="91" t="s">
        <v>74</v>
      </c>
      <c r="C119" s="91"/>
      <c r="D119" s="91"/>
      <c r="E119" s="49"/>
      <c r="F119" s="56"/>
    </row>
    <row r="120" spans="1:10" ht="16.5" x14ac:dyDescent="0.3">
      <c r="A120" s="70"/>
      <c r="B120" s="71"/>
      <c r="C120" s="49"/>
      <c r="D120" s="49"/>
      <c r="E120" s="49"/>
      <c r="F120" s="56"/>
    </row>
    <row r="121" spans="1:10" x14ac:dyDescent="0.25">
      <c r="A121" s="7" t="s">
        <v>0</v>
      </c>
      <c r="B121" s="8" t="s">
        <v>1</v>
      </c>
      <c r="C121" s="40" t="s">
        <v>2</v>
      </c>
      <c r="D121" s="41" t="s">
        <v>3</v>
      </c>
      <c r="E121" s="12" t="s">
        <v>4</v>
      </c>
      <c r="F121" s="12" t="s">
        <v>5</v>
      </c>
    </row>
    <row r="122" spans="1:10" ht="16.5" x14ac:dyDescent="0.3">
      <c r="A122" s="72"/>
      <c r="B122" s="73"/>
      <c r="C122" s="74"/>
      <c r="D122" s="74"/>
      <c r="E122" s="74"/>
      <c r="F122" s="74"/>
    </row>
    <row r="123" spans="1:10" ht="16.5" x14ac:dyDescent="0.3">
      <c r="A123" s="42"/>
      <c r="C123" s="43"/>
      <c r="D123" s="39"/>
      <c r="E123" s="43"/>
      <c r="F123" s="43"/>
    </row>
    <row r="124" spans="1:10" s="65" customFormat="1" ht="16.5" x14ac:dyDescent="0.25">
      <c r="A124" s="42" t="s">
        <v>56</v>
      </c>
      <c r="B124" s="62" t="s">
        <v>73</v>
      </c>
      <c r="C124" s="63" t="s">
        <v>33</v>
      </c>
      <c r="D124" s="64">
        <v>1</v>
      </c>
      <c r="E124" s="63">
        <v>25000</v>
      </c>
      <c r="F124" s="63">
        <f>E124*D124</f>
        <v>25000</v>
      </c>
      <c r="I124" s="80"/>
      <c r="J124" s="80"/>
    </row>
    <row r="125" spans="1:10" ht="16.5" x14ac:dyDescent="0.3">
      <c r="A125" s="42"/>
      <c r="B125" s="29"/>
      <c r="C125" s="43"/>
      <c r="D125" s="39"/>
      <c r="E125" s="43"/>
      <c r="F125" s="43"/>
    </row>
    <row r="126" spans="1:10" s="65" customFormat="1" ht="28.5" x14ac:dyDescent="0.25">
      <c r="A126" s="45"/>
      <c r="B126" s="8" t="s">
        <v>47</v>
      </c>
      <c r="C126" s="46"/>
      <c r="D126" s="47"/>
      <c r="E126" s="48" t="s">
        <v>34</v>
      </c>
      <c r="F126" s="48">
        <f>SUM(F123:F125)</f>
        <v>25000</v>
      </c>
    </row>
    <row r="127" spans="1:10" ht="16.5" x14ac:dyDescent="0.3">
      <c r="A127" s="66"/>
      <c r="B127" s="67"/>
      <c r="C127" s="68"/>
      <c r="D127" s="68"/>
      <c r="E127" s="68"/>
      <c r="F127" s="69"/>
    </row>
    <row r="128" spans="1:10" ht="16.5" x14ac:dyDescent="0.3">
      <c r="A128" s="66"/>
      <c r="B128" s="67"/>
      <c r="C128" s="68"/>
      <c r="D128" s="68"/>
      <c r="E128" s="68"/>
      <c r="F128" s="69"/>
    </row>
    <row r="129" spans="1:6" ht="16.5" x14ac:dyDescent="0.25">
      <c r="A129" s="70"/>
      <c r="B129" s="91" t="s">
        <v>54</v>
      </c>
      <c r="C129" s="91"/>
      <c r="D129" s="91"/>
      <c r="E129" s="91"/>
      <c r="F129" s="81"/>
    </row>
    <row r="130" spans="1:6" ht="16.5" x14ac:dyDescent="0.3">
      <c r="A130" s="82"/>
      <c r="B130" s="61"/>
      <c r="C130" s="50"/>
      <c r="D130" s="50"/>
      <c r="E130" s="50"/>
      <c r="F130" s="83"/>
    </row>
    <row r="131" spans="1:6" x14ac:dyDescent="0.25">
      <c r="A131" s="7" t="s">
        <v>0</v>
      </c>
      <c r="B131" s="8" t="s">
        <v>1</v>
      </c>
      <c r="C131" s="40" t="s">
        <v>2</v>
      </c>
      <c r="D131" s="41" t="s">
        <v>3</v>
      </c>
      <c r="E131" s="12" t="s">
        <v>4</v>
      </c>
      <c r="F131" s="12" t="s">
        <v>5</v>
      </c>
    </row>
    <row r="132" spans="1:6" x14ac:dyDescent="0.25">
      <c r="A132" s="51"/>
      <c r="B132" s="52"/>
      <c r="C132" s="53"/>
      <c r="D132" s="54"/>
      <c r="E132" s="55"/>
      <c r="F132" s="55"/>
    </row>
    <row r="133" spans="1:6" ht="16.5" x14ac:dyDescent="0.3">
      <c r="A133" s="42">
        <v>1</v>
      </c>
      <c r="B133" s="29" t="s">
        <v>59</v>
      </c>
      <c r="C133" s="43"/>
      <c r="D133" s="39"/>
      <c r="E133" s="43"/>
      <c r="F133" s="43">
        <f>F52</f>
        <v>77500</v>
      </c>
    </row>
    <row r="134" spans="1:6" ht="16.5" x14ac:dyDescent="0.3">
      <c r="A134" s="42"/>
      <c r="B134" s="29"/>
      <c r="C134" s="43"/>
      <c r="D134" s="39"/>
      <c r="E134" s="43"/>
      <c r="F134" s="43"/>
    </row>
    <row r="135" spans="1:6" ht="16.5" x14ac:dyDescent="0.3">
      <c r="A135" s="42">
        <v>2</v>
      </c>
      <c r="B135" s="29" t="s">
        <v>87</v>
      </c>
      <c r="C135" s="43"/>
      <c r="D135" s="39"/>
      <c r="E135" s="43"/>
      <c r="F135" s="43">
        <f>F88</f>
        <v>1557270</v>
      </c>
    </row>
    <row r="136" spans="1:6" ht="16.5" x14ac:dyDescent="0.3">
      <c r="A136" s="42"/>
      <c r="B136" s="29"/>
      <c r="C136" s="43"/>
      <c r="D136" s="39"/>
      <c r="E136" s="43"/>
      <c r="F136" s="43"/>
    </row>
    <row r="137" spans="1:6" ht="16.5" x14ac:dyDescent="0.3">
      <c r="A137" s="42">
        <v>3</v>
      </c>
      <c r="B137" s="29" t="s">
        <v>88</v>
      </c>
      <c r="C137" s="43"/>
      <c r="D137" s="39"/>
      <c r="E137" s="43"/>
      <c r="F137" s="43">
        <f>F117</f>
        <v>1518154</v>
      </c>
    </row>
    <row r="138" spans="1:6" ht="16.5" x14ac:dyDescent="0.3">
      <c r="A138" s="42"/>
      <c r="B138" s="29"/>
      <c r="C138" s="43"/>
      <c r="D138" s="39"/>
      <c r="E138" s="43"/>
      <c r="F138" s="43"/>
    </row>
    <row r="139" spans="1:6" ht="16.5" x14ac:dyDescent="0.3">
      <c r="A139" s="42">
        <v>4</v>
      </c>
      <c r="B139" s="29" t="s">
        <v>92</v>
      </c>
      <c r="C139" s="43"/>
      <c r="D139" s="39"/>
      <c r="E139" s="43"/>
      <c r="F139" s="43">
        <f>F126</f>
        <v>25000</v>
      </c>
    </row>
    <row r="140" spans="1:6" ht="16.5" x14ac:dyDescent="0.3">
      <c r="A140" s="42"/>
      <c r="B140" s="29"/>
      <c r="C140" s="43"/>
      <c r="D140" s="39"/>
      <c r="E140" s="43"/>
      <c r="F140" s="43"/>
    </row>
    <row r="141" spans="1:6" ht="16.5" x14ac:dyDescent="0.3">
      <c r="A141" s="45"/>
      <c r="B141" s="57" t="s">
        <v>53</v>
      </c>
      <c r="C141" s="58"/>
      <c r="D141" s="59"/>
      <c r="E141" s="60" t="s">
        <v>34</v>
      </c>
      <c r="F141" s="60">
        <f>SUM(F133:F139)</f>
        <v>3177924</v>
      </c>
    </row>
  </sheetData>
  <mergeCells count="11">
    <mergeCell ref="B129:E129"/>
    <mergeCell ref="A2:F2"/>
    <mergeCell ref="A3:F3"/>
    <mergeCell ref="A4:F4"/>
    <mergeCell ref="B44:D44"/>
    <mergeCell ref="B54:D54"/>
    <mergeCell ref="B90:D90"/>
    <mergeCell ref="B119:D119"/>
    <mergeCell ref="A5:F5"/>
    <mergeCell ref="A6:F6"/>
    <mergeCell ref="A7:F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BOQ Walkway &amp; Drainage</vt:lpstr>
    </vt:vector>
  </TitlesOfParts>
  <Company>Illovo Sugar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Santi Obe - Nakambala</dc:creator>
  <cp:lastModifiedBy>DEMAS</cp:lastModifiedBy>
  <dcterms:created xsi:type="dcterms:W3CDTF">2024-12-06T18:37:43Z</dcterms:created>
  <dcterms:modified xsi:type="dcterms:W3CDTF">2025-10-22T11:36:54Z</dcterms:modified>
</cp:coreProperties>
</file>